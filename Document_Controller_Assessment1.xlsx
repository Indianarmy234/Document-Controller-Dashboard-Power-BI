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FURQUAN\Firoz\Data Analyst\"/>
    </mc:Choice>
  </mc:AlternateContent>
  <xr:revisionPtr revIDLastSave="0" documentId="13_ncr:1_{0F9E0307-B609-488B-8C80-9B531FB9C5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cument Register" sheetId="1" r:id="rId1"/>
    <sheet name="Data-detail" sheetId="2" r:id="rId2"/>
    <sheet name="KPI Matrix" sheetId="3" r:id="rId3"/>
    <sheet name="KR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11" i="3"/>
  <c r="E12" i="3"/>
  <c r="E5" i="3"/>
  <c r="E4" i="3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E9" i="3" l="1"/>
  <c r="E10" i="3"/>
</calcChain>
</file>

<file path=xl/sharedStrings.xml><?xml version="1.0" encoding="utf-8"?>
<sst xmlns="http://schemas.openxmlformats.org/spreadsheetml/2006/main" count="993" uniqueCount="207">
  <si>
    <t>Document Number</t>
  </si>
  <si>
    <t>Document Title</t>
  </si>
  <si>
    <t>Project Name</t>
  </si>
  <si>
    <t>Client Name</t>
  </si>
  <si>
    <t>Discipline</t>
  </si>
  <si>
    <t>Revision No.</t>
  </si>
  <si>
    <t>Submission Date</t>
  </si>
  <si>
    <t>Approval Date</t>
  </si>
  <si>
    <t>Status</t>
  </si>
  <si>
    <t>Responsible Engineer</t>
  </si>
  <si>
    <t>Remarks</t>
  </si>
  <si>
    <t>Aging (Days)</t>
  </si>
  <si>
    <t>PRJ01-CIV-0001</t>
  </si>
  <si>
    <t>Foundation Drawing</t>
  </si>
  <si>
    <t>Metro Project</t>
  </si>
  <si>
    <t>ABC Ltd</t>
  </si>
  <si>
    <t>Civil</t>
  </si>
  <si>
    <t>Rev-00</t>
  </si>
  <si>
    <t>Approved</t>
  </si>
  <si>
    <t>Ahmed Khan</t>
  </si>
  <si>
    <t>PRJ02-MEC-0002</t>
  </si>
  <si>
    <t>HVAC Layout</t>
  </si>
  <si>
    <t>Airport Project</t>
  </si>
  <si>
    <t>XYZ Ltd</t>
  </si>
  <si>
    <t>Mechanical</t>
  </si>
  <si>
    <t>Rev-01</t>
  </si>
  <si>
    <t>Submitted</t>
  </si>
  <si>
    <t>Ali Raza</t>
  </si>
  <si>
    <t>Pending</t>
  </si>
  <si>
    <t>PRJ03-ELE-0003</t>
  </si>
  <si>
    <t>Cable Schedule</t>
  </si>
  <si>
    <t>Hospital Project</t>
  </si>
  <si>
    <t>GHI Ltd</t>
  </si>
  <si>
    <t>Electrical</t>
  </si>
  <si>
    <t>Rev-02</t>
  </si>
  <si>
    <t>Under Review</t>
  </si>
  <si>
    <t>John Mathew</t>
  </si>
  <si>
    <t>Review</t>
  </si>
  <si>
    <t>PRJ04-ELV-0004</t>
  </si>
  <si>
    <t>CCTV Layout</t>
  </si>
  <si>
    <t>Refinery Upgrade</t>
  </si>
  <si>
    <t>OilCorp</t>
  </si>
  <si>
    <t>ELV</t>
  </si>
  <si>
    <t>Rev-03</t>
  </si>
  <si>
    <t>Draft</t>
  </si>
  <si>
    <t>Salman Ali</t>
  </si>
  <si>
    <t>PRJ05-HSE-0005</t>
  </si>
  <si>
    <t>Risk Assessment</t>
  </si>
  <si>
    <t>IT Park</t>
  </si>
  <si>
    <t>PQR Ltd</t>
  </si>
  <si>
    <t>HSE</t>
  </si>
  <si>
    <t>Rejected</t>
  </si>
  <si>
    <t>Imran Ahmed</t>
  </si>
  <si>
    <t>Resubmit</t>
  </si>
  <si>
    <t>PRJ06-QA/-0006</t>
  </si>
  <si>
    <t>ITP Document</t>
  </si>
  <si>
    <t>Data Center</t>
  </si>
  <si>
    <t>NABCO</t>
  </si>
  <si>
    <t>QA/QC</t>
  </si>
  <si>
    <t>Hassan Khan</t>
  </si>
  <si>
    <t>PRJ07-CIV-0007</t>
  </si>
  <si>
    <t>Mall Project</t>
  </si>
  <si>
    <t>Delta EPC</t>
  </si>
  <si>
    <t>PRJ08-MEC-0008</t>
  </si>
  <si>
    <t>Bridge Project</t>
  </si>
  <si>
    <t>Prime Infra</t>
  </si>
  <si>
    <t>PRJ09-ELE-0009</t>
  </si>
  <si>
    <t>Residential Tower</t>
  </si>
  <si>
    <t>SkyBuild</t>
  </si>
  <si>
    <t>PRJ10-ELV-0010</t>
  </si>
  <si>
    <t>Industrial Plant</t>
  </si>
  <si>
    <t>Vision Tech</t>
  </si>
  <si>
    <t>PRJ01-HSE-0011</t>
  </si>
  <si>
    <t>PRJ02-QA/-0012</t>
  </si>
  <si>
    <t>PRJ03-CIV-0013</t>
  </si>
  <si>
    <t>PRJ04-MEC-0014</t>
  </si>
  <si>
    <t>PRJ05-ELE-0015</t>
  </si>
  <si>
    <t>PRJ06-ELV-0016</t>
  </si>
  <si>
    <t>PRJ07-HSE-0017</t>
  </si>
  <si>
    <t>PRJ08-QA/-0018</t>
  </si>
  <si>
    <t>PRJ09-CIV-0019</t>
  </si>
  <si>
    <t>PRJ10-MEC-0020</t>
  </si>
  <si>
    <t>PRJ01-ELE-0021</t>
  </si>
  <si>
    <t>PRJ02-ELV-0022</t>
  </si>
  <si>
    <t>PRJ03-HSE-0023</t>
  </si>
  <si>
    <t>PRJ04-QA/-0024</t>
  </si>
  <si>
    <t>PRJ05-CIV-0025</t>
  </si>
  <si>
    <t>PRJ06-MEC-0026</t>
  </si>
  <si>
    <t>PRJ07-ELE-0027</t>
  </si>
  <si>
    <t>PRJ08-ELV-0028</t>
  </si>
  <si>
    <t>PRJ09-HSE-0029</t>
  </si>
  <si>
    <t>PRJ10-QA/-0030</t>
  </si>
  <si>
    <t>PRJ01-CIV-0031</t>
  </si>
  <si>
    <t>PRJ02-MEC-0032</t>
  </si>
  <si>
    <t>PRJ03-ELE-0033</t>
  </si>
  <si>
    <t>PRJ04-ELV-0034</t>
  </si>
  <si>
    <t>PRJ05-HSE-0035</t>
  </si>
  <si>
    <t>PRJ06-QA/-0036</t>
  </si>
  <si>
    <t>PRJ07-CIV-0037</t>
  </si>
  <si>
    <t>PRJ08-MEC-0038</t>
  </si>
  <si>
    <t>PRJ09-ELE-0039</t>
  </si>
  <si>
    <t>PRJ10-ELV-0040</t>
  </si>
  <si>
    <t>PRJ01-HSE-0041</t>
  </si>
  <si>
    <t>PRJ02-QA/-0042</t>
  </si>
  <si>
    <t>PRJ03-CIV-0043</t>
  </si>
  <si>
    <t>PRJ04-MEC-0044</t>
  </si>
  <si>
    <t>PRJ05-ELE-0045</t>
  </si>
  <si>
    <t>PRJ06-ELV-0046</t>
  </si>
  <si>
    <t>PRJ07-HSE-0047</t>
  </si>
  <si>
    <t>PRJ08-QA/-0048</t>
  </si>
  <si>
    <t>PRJ09-CIV-0049</t>
  </si>
  <si>
    <t>PRJ10-MEC-0050</t>
  </si>
  <si>
    <t>PRJ01-ELE-0051</t>
  </si>
  <si>
    <t>PRJ02-ELV-0052</t>
  </si>
  <si>
    <t>PRJ03-HSE-0053</t>
  </si>
  <si>
    <t>PRJ04-QA/-0054</t>
  </si>
  <si>
    <t>PRJ05-CIV-0055</t>
  </si>
  <si>
    <t>PRJ06-MEC-0056</t>
  </si>
  <si>
    <t>PRJ07-ELE-0057</t>
  </si>
  <si>
    <t>PRJ08-ELV-0058</t>
  </si>
  <si>
    <t>PRJ09-HSE-0059</t>
  </si>
  <si>
    <t>PRJ10-QA/-0060</t>
  </si>
  <si>
    <t>PRJ01-CIV-0061</t>
  </si>
  <si>
    <t>PRJ02-MEC-0062</t>
  </si>
  <si>
    <t>PRJ03-ELE-0063</t>
  </si>
  <si>
    <t>PRJ04-ELV-0064</t>
  </si>
  <si>
    <t>PRJ05-HSE-0065</t>
  </si>
  <si>
    <t>PRJ06-QA/-0066</t>
  </si>
  <si>
    <t>PRJ07-CIV-0067</t>
  </si>
  <si>
    <t>PRJ08-MEC-0068</t>
  </si>
  <si>
    <t>PRJ09-ELE-0069</t>
  </si>
  <si>
    <t>PRJ10-ELV-0070</t>
  </si>
  <si>
    <t>PRJ01-HSE-0071</t>
  </si>
  <si>
    <t>PRJ02-QA/-0072</t>
  </si>
  <si>
    <t>PRJ03-CIV-0073</t>
  </si>
  <si>
    <t>PRJ04-MEC-0074</t>
  </si>
  <si>
    <t>PRJ05-ELE-0075</t>
  </si>
  <si>
    <t>PRJ06-ELV-0076</t>
  </si>
  <si>
    <t>PRJ07-HSE-0077</t>
  </si>
  <si>
    <t>PRJ08-QA/-0078</t>
  </si>
  <si>
    <t>PRJ09-CIV-0079</t>
  </si>
  <si>
    <t>PRJ10-MEC-0080</t>
  </si>
  <si>
    <t>PRJ01-ELE-0081</t>
  </si>
  <si>
    <t>PRJ02-ELV-0082</t>
  </si>
  <si>
    <t>PRJ03-HSE-0083</t>
  </si>
  <si>
    <t>PRJ04-QA/-0084</t>
  </si>
  <si>
    <t>PRJ05-CIV-0085</t>
  </si>
  <si>
    <t>PRJ06-MEC-0086</t>
  </si>
  <si>
    <t>PRJ07-ELE-0087</t>
  </si>
  <si>
    <t>PRJ08-ELV-0088</t>
  </si>
  <si>
    <t>PRJ09-HSE-0089</t>
  </si>
  <si>
    <t>PRJ10-QA/-0090</t>
  </si>
  <si>
    <t>PRJ01-CIV-0091</t>
  </si>
  <si>
    <t>PRJ02-MEC-0092</t>
  </si>
  <si>
    <t>PRJ03-ELE-0093</t>
  </si>
  <si>
    <t>PRJ04-ELV-0094</t>
  </si>
  <si>
    <t>PRJ05-HSE-0095</t>
  </si>
  <si>
    <t>PRJ06-QA/-0096</t>
  </si>
  <si>
    <t>PRJ07-CIV-0097</t>
  </si>
  <si>
    <t>PRJ08-MEC-0098</t>
  </si>
  <si>
    <t>PRJ09-ELE-0099</t>
  </si>
  <si>
    <t>PRJ10-ELV-0100</t>
  </si>
  <si>
    <t>Master Document Register</t>
  </si>
  <si>
    <t>DEF Ltd</t>
  </si>
  <si>
    <t>Refinery</t>
  </si>
  <si>
    <t>LMN Ltd</t>
  </si>
  <si>
    <t>KPI</t>
  </si>
  <si>
    <t>Formula</t>
  </si>
  <si>
    <t>Target</t>
  </si>
  <si>
    <t>Total Documents</t>
  </si>
  <si>
    <t>≥90%</t>
  </si>
  <si>
    <t>-</t>
  </si>
  <si>
    <t>&lt;5%</t>
  </si>
  <si>
    <t>Overdue</t>
  </si>
  <si>
    <t>KRA</t>
  </si>
  <si>
    <t>Objective</t>
  </si>
  <si>
    <t>Responsibilities</t>
  </si>
  <si>
    <t>Measurement</t>
  </si>
  <si>
    <t>Document Control</t>
  </si>
  <si>
    <t>Maintain project documents</t>
  </si>
  <si>
    <t>Register, revise, archive</t>
  </si>
  <si>
    <t>99% Accuracy</t>
  </si>
  <si>
    <t>Submission Management</t>
  </si>
  <si>
    <t>Timely submissions</t>
  </si>
  <si>
    <t>Submit &amp; track approvals</t>
  </si>
  <si>
    <t>≥95% On-Time</t>
  </si>
  <si>
    <t>Client Coordination</t>
  </si>
  <si>
    <t>Client communication</t>
  </si>
  <si>
    <t>Follow up comments</t>
  </si>
  <si>
    <t>≥90% Approval</t>
  </si>
  <si>
    <t>Reporting &amp; Dashboard</t>
  </si>
  <si>
    <t>Prepare reports</t>
  </si>
  <si>
    <t>Excel &amp; Power BI updates</t>
  </si>
  <si>
    <t>100% Reports</t>
  </si>
  <si>
    <t>QA/QC Documentation</t>
  </si>
  <si>
    <t>Maintain QA records</t>
  </si>
  <si>
    <t>ITP, Method Statement</t>
  </si>
  <si>
    <t>Zero Missing Docs</t>
  </si>
  <si>
    <t>Records Management</t>
  </si>
  <si>
    <t>Archive records</t>
  </si>
  <si>
    <t>Store &amp; retrieve documents</t>
  </si>
  <si>
    <t>100% Retrieval</t>
  </si>
  <si>
    <t>On-Time Submission %</t>
  </si>
  <si>
    <t>≥95%</t>
  </si>
  <si>
    <t>Approval Success Rate</t>
  </si>
  <si>
    <t>Document Accuracy %</t>
  </si>
  <si>
    <t>≥99%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</si>
</sst>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1" xfId="0" applyNumberFormat="1" applyBorder="1"/>
    <xf numFmtId="14" fontId="0" fillId="0" borderId="8" xfId="0" applyNumberFormat="1" applyBorder="1"/>
    <xf numFmtId="0" fontId="1" fillId="3" borderId="4" xfId="0" applyFont="1" applyFill="1" applyBorder="1"/>
    <xf numFmtId="0" fontId="1" fillId="3" borderId="5" xfId="0" applyFont="1" applyFill="1" applyBorder="1"/>
    <xf numFmtId="14" fontId="1" fillId="3" borderId="5" xfId="0" applyNumberFormat="1" applyFont="1" applyFill="1" applyBorder="1"/>
    <xf numFmtId="0" fontId="1" fillId="3" borderId="6" xfId="0" applyFont="1" applyFill="1" applyBorder="1"/>
    <xf numFmtId="0" fontId="0" fillId="5" borderId="1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6" fillId="9" borderId="1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8CBAD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8479C7-5281-4137-9B9C-CC367C586816}" name="Table4" displayName="Table4" ref="A3:L103" totalsRowShown="0" headerRowDxfId="28" headerRowBorderDxfId="27" tableBorderDxfId="26" totalsRowBorderDxfId="25">
  <autoFilter ref="A3:L103" xr:uid="{918479C7-5281-4137-9B9C-CC367C586816}"/>
  <tableColumns count="12">
    <tableColumn id="1" xr3:uid="{A7D1C83E-97BB-4D7E-968B-48C28EEB5B2B}" name="Document Number" dataDxfId="24"/>
    <tableColumn id="2" xr3:uid="{B287D3E2-2E96-4B81-8A7E-A081EEC1307B}" name="Document Title" dataDxfId="23"/>
    <tableColumn id="3" xr3:uid="{1F43AA74-FF38-48CD-A05F-C58264A4E30C}" name="Project Name" dataDxfId="22"/>
    <tableColumn id="4" xr3:uid="{B804914D-B304-47EA-8B8D-7540F537D2AB}" name="Client Name" dataDxfId="21"/>
    <tableColumn id="5" xr3:uid="{87525D7D-8F02-409B-A18A-2758A87EFD1F}" name="Discipline" dataDxfId="20"/>
    <tableColumn id="6" xr3:uid="{C844018C-6501-41CE-A59F-BE5F15B09E8E}" name="Revision No." dataDxfId="19"/>
    <tableColumn id="7" xr3:uid="{ED027D53-A5DD-40AA-B07F-87DC9FA3E11E}" name="Submission Date" dataDxfId="18"/>
    <tableColumn id="8" xr3:uid="{215E1B1D-5FDF-45E2-8319-4F9D65152B4A}" name="Approval Date" dataDxfId="17"/>
    <tableColumn id="9" xr3:uid="{C5C9AAEF-927B-408E-BA15-25EF2B90F5CC}" name="Status" dataDxfId="16"/>
    <tableColumn id="10" xr3:uid="{F4345C6B-39A9-4535-847E-46DABFFB0BE9}" name="Responsible Engineer" dataDxfId="15"/>
    <tableColumn id="11" xr3:uid="{484F6CC4-7610-4809-9A3D-654A69C06A0A}" name="Remarks" dataDxfId="14"/>
    <tableColumn id="12" xr3:uid="{023DB550-DD70-4427-82CE-5F272821C285}" name="Aging (Days)" dataDxfId="13">
      <calculatedColumnFormula>IF(G4="","",TODAY()-G4)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BF5D4D-DC53-4DA6-B975-764B651FF678}" name="Table5" displayName="Table5" ref="D1:G8" totalsRowShown="0" headerRowDxfId="12" headerRowBorderDxfId="11" tableBorderDxfId="10" totalsRowBorderDxfId="9">
  <autoFilter ref="D1:G8" xr:uid="{E4BF5D4D-DC53-4DA6-B975-764B651FF678}"/>
  <tableColumns count="4">
    <tableColumn id="1" xr3:uid="{CEB9B622-9F17-4E67-8341-3EC89B8F20F2}" name="Project Name" dataDxfId="8"/>
    <tableColumn id="2" xr3:uid="{7A2A5BCB-A0F6-4753-BD7B-0E4B69438A2F}" name="Client Name" dataDxfId="7"/>
    <tableColumn id="3" xr3:uid="{F7DE5222-CF40-4058-9E64-8080BD7073A4}" name="Discipline" dataDxfId="6"/>
    <tableColumn id="4" xr3:uid="{6CAB3C64-D990-4AF8-964B-AB074C9277E3}" name="Responsible Engineer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="98" zoomScaleNormal="98" workbookViewId="0">
      <pane ySplit="2" topLeftCell="A3" activePane="bottomLeft" state="frozen"/>
      <selection pane="bottomLeft" activeCell="I3" sqref="I3"/>
    </sheetView>
  </sheetViews>
  <sheetFormatPr defaultRowHeight="14.5"/>
  <cols>
    <col min="1" max="1" width="19.08984375" customWidth="1"/>
    <col min="2" max="2" width="17.90625" bestFit="1" customWidth="1"/>
    <col min="3" max="3" width="15.7265625" bestFit="1" customWidth="1"/>
    <col min="4" max="4" width="13.1796875" customWidth="1"/>
    <col min="5" max="5" width="10.81640625" customWidth="1"/>
    <col min="6" max="6" width="13.26953125" customWidth="1"/>
    <col min="7" max="7" width="17" customWidth="1"/>
    <col min="8" max="8" width="15" customWidth="1"/>
    <col min="9" max="9" width="12.36328125" bestFit="1" customWidth="1"/>
    <col min="10" max="10" width="20.90625" customWidth="1"/>
    <col min="11" max="11" width="10.1796875" customWidth="1"/>
    <col min="12" max="12" width="13.26953125" customWidth="1"/>
  </cols>
  <sheetData>
    <row r="1" spans="1:12">
      <c r="A1" s="31" t="s">
        <v>162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 spans="1:1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12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H3" s="12" t="s">
        <v>7</v>
      </c>
      <c r="I3" s="11" t="s">
        <v>8</v>
      </c>
      <c r="J3" s="11" t="s">
        <v>9</v>
      </c>
      <c r="K3" s="11" t="s">
        <v>10</v>
      </c>
      <c r="L3" s="13" t="s">
        <v>11</v>
      </c>
    </row>
    <row r="4" spans="1:12">
      <c r="A4" s="3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8">
        <v>46023</v>
      </c>
      <c r="H4" s="8">
        <v>46026</v>
      </c>
      <c r="I4" s="1" t="s">
        <v>18</v>
      </c>
      <c r="J4" s="1" t="s">
        <v>19</v>
      </c>
      <c r="K4" s="1" t="s">
        <v>18</v>
      </c>
      <c r="L4" s="4">
        <f t="shared" ref="L4:L35" ca="1" si="0">IF(G4="","",TODAY()-G4)</f>
        <v>221</v>
      </c>
    </row>
    <row r="5" spans="1:12">
      <c r="A5" s="3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8">
        <v>46025</v>
      </c>
      <c r="H5" s="8"/>
      <c r="I5" s="1" t="s">
        <v>26</v>
      </c>
      <c r="J5" s="1" t="s">
        <v>27</v>
      </c>
      <c r="K5" s="1" t="s">
        <v>28</v>
      </c>
      <c r="L5" s="4">
        <f t="shared" ca="1" si="0"/>
        <v>219</v>
      </c>
    </row>
    <row r="6" spans="1:12">
      <c r="A6" s="3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8">
        <v>46027</v>
      </c>
      <c r="H6" s="8"/>
      <c r="I6" s="1" t="s">
        <v>35</v>
      </c>
      <c r="J6" s="1" t="s">
        <v>36</v>
      </c>
      <c r="K6" s="1" t="s">
        <v>37</v>
      </c>
      <c r="L6" s="4">
        <f t="shared" ca="1" si="0"/>
        <v>217</v>
      </c>
    </row>
    <row r="7" spans="1:12">
      <c r="A7" s="3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8">
        <v>46029</v>
      </c>
      <c r="H7" s="8"/>
      <c r="I7" s="1" t="s">
        <v>44</v>
      </c>
      <c r="J7" s="1" t="s">
        <v>45</v>
      </c>
      <c r="K7" s="1" t="s">
        <v>44</v>
      </c>
      <c r="L7" s="4">
        <f t="shared" ca="1" si="0"/>
        <v>215</v>
      </c>
    </row>
    <row r="8" spans="1:12">
      <c r="A8" s="3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17</v>
      </c>
      <c r="G8" s="8">
        <v>46031</v>
      </c>
      <c r="H8" s="8"/>
      <c r="I8" s="1" t="s">
        <v>51</v>
      </c>
      <c r="J8" s="1" t="s">
        <v>52</v>
      </c>
      <c r="K8" s="1" t="s">
        <v>53</v>
      </c>
      <c r="L8" s="4">
        <f t="shared" ca="1" si="0"/>
        <v>213</v>
      </c>
    </row>
    <row r="9" spans="1:12">
      <c r="A9" s="3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25</v>
      </c>
      <c r="G9" s="8">
        <v>46033</v>
      </c>
      <c r="H9" s="8">
        <v>46036</v>
      </c>
      <c r="I9" s="1" t="s">
        <v>18</v>
      </c>
      <c r="J9" s="1" t="s">
        <v>59</v>
      </c>
      <c r="K9" s="1" t="s">
        <v>18</v>
      </c>
      <c r="L9" s="4">
        <f t="shared" ca="1" si="0"/>
        <v>211</v>
      </c>
    </row>
    <row r="10" spans="1:12">
      <c r="A10" s="3" t="s">
        <v>60</v>
      </c>
      <c r="B10" s="1" t="s">
        <v>13</v>
      </c>
      <c r="C10" s="1" t="s">
        <v>61</v>
      </c>
      <c r="D10" s="1" t="s">
        <v>62</v>
      </c>
      <c r="E10" s="1" t="s">
        <v>16</v>
      </c>
      <c r="F10" s="1" t="s">
        <v>34</v>
      </c>
      <c r="G10" s="8">
        <v>46035</v>
      </c>
      <c r="H10" s="8"/>
      <c r="I10" s="1" t="s">
        <v>26</v>
      </c>
      <c r="J10" s="1" t="s">
        <v>19</v>
      </c>
      <c r="K10" s="1" t="s">
        <v>28</v>
      </c>
      <c r="L10" s="4">
        <f t="shared" ca="1" si="0"/>
        <v>209</v>
      </c>
    </row>
    <row r="11" spans="1:12">
      <c r="A11" s="3" t="s">
        <v>63</v>
      </c>
      <c r="B11" s="1" t="s">
        <v>21</v>
      </c>
      <c r="C11" s="1" t="s">
        <v>64</v>
      </c>
      <c r="D11" s="1" t="s">
        <v>65</v>
      </c>
      <c r="E11" s="1" t="s">
        <v>24</v>
      </c>
      <c r="F11" s="1" t="s">
        <v>43</v>
      </c>
      <c r="G11" s="8">
        <v>46037</v>
      </c>
      <c r="H11" s="8"/>
      <c r="I11" s="1" t="s">
        <v>35</v>
      </c>
      <c r="J11" s="1" t="s">
        <v>27</v>
      </c>
      <c r="K11" s="1" t="s">
        <v>37</v>
      </c>
      <c r="L11" s="4">
        <f t="shared" ca="1" si="0"/>
        <v>207</v>
      </c>
    </row>
    <row r="12" spans="1:12">
      <c r="A12" s="3" t="s">
        <v>66</v>
      </c>
      <c r="B12" s="1" t="s">
        <v>30</v>
      </c>
      <c r="C12" s="1" t="s">
        <v>67</v>
      </c>
      <c r="D12" s="1" t="s">
        <v>68</v>
      </c>
      <c r="E12" s="1" t="s">
        <v>33</v>
      </c>
      <c r="F12" s="1" t="s">
        <v>17</v>
      </c>
      <c r="G12" s="8">
        <v>46039</v>
      </c>
      <c r="H12" s="8"/>
      <c r="I12" s="1" t="s">
        <v>44</v>
      </c>
      <c r="J12" s="1" t="s">
        <v>36</v>
      </c>
      <c r="K12" s="1" t="s">
        <v>44</v>
      </c>
      <c r="L12" s="4">
        <f t="shared" ca="1" si="0"/>
        <v>205</v>
      </c>
    </row>
    <row r="13" spans="1:12">
      <c r="A13" s="3" t="s">
        <v>69</v>
      </c>
      <c r="B13" s="1" t="s">
        <v>39</v>
      </c>
      <c r="C13" s="1" t="s">
        <v>70</v>
      </c>
      <c r="D13" s="1" t="s">
        <v>71</v>
      </c>
      <c r="E13" s="1" t="s">
        <v>42</v>
      </c>
      <c r="F13" s="1" t="s">
        <v>25</v>
      </c>
      <c r="G13" s="8">
        <v>46041</v>
      </c>
      <c r="H13" s="8"/>
      <c r="I13" s="1" t="s">
        <v>51</v>
      </c>
      <c r="J13" s="1" t="s">
        <v>45</v>
      </c>
      <c r="K13" s="1" t="s">
        <v>53</v>
      </c>
      <c r="L13" s="4">
        <f t="shared" ca="1" si="0"/>
        <v>203</v>
      </c>
    </row>
    <row r="14" spans="1:12">
      <c r="A14" s="3" t="s">
        <v>72</v>
      </c>
      <c r="B14" s="1" t="s">
        <v>47</v>
      </c>
      <c r="C14" s="1" t="s">
        <v>14</v>
      </c>
      <c r="D14" s="1" t="s">
        <v>15</v>
      </c>
      <c r="E14" s="1" t="s">
        <v>50</v>
      </c>
      <c r="F14" s="1" t="s">
        <v>34</v>
      </c>
      <c r="G14" s="8">
        <v>46043</v>
      </c>
      <c r="H14" s="8">
        <v>46046</v>
      </c>
      <c r="I14" s="1" t="s">
        <v>18</v>
      </c>
      <c r="J14" s="1" t="s">
        <v>52</v>
      </c>
      <c r="K14" s="1" t="s">
        <v>18</v>
      </c>
      <c r="L14" s="4">
        <f t="shared" ca="1" si="0"/>
        <v>201</v>
      </c>
    </row>
    <row r="15" spans="1:12">
      <c r="A15" s="3" t="s">
        <v>73</v>
      </c>
      <c r="B15" s="1" t="s">
        <v>55</v>
      </c>
      <c r="C15" s="1" t="s">
        <v>22</v>
      </c>
      <c r="D15" s="1" t="s">
        <v>23</v>
      </c>
      <c r="E15" s="1" t="s">
        <v>58</v>
      </c>
      <c r="F15" s="1" t="s">
        <v>43</v>
      </c>
      <c r="G15" s="8">
        <v>46045</v>
      </c>
      <c r="H15" s="8"/>
      <c r="I15" s="1" t="s">
        <v>26</v>
      </c>
      <c r="J15" s="1" t="s">
        <v>59</v>
      </c>
      <c r="K15" s="1" t="s">
        <v>28</v>
      </c>
      <c r="L15" s="4">
        <f t="shared" ca="1" si="0"/>
        <v>199</v>
      </c>
    </row>
    <row r="16" spans="1:12">
      <c r="A16" s="3" t="s">
        <v>74</v>
      </c>
      <c r="B16" s="1" t="s">
        <v>13</v>
      </c>
      <c r="C16" s="1" t="s">
        <v>31</v>
      </c>
      <c r="D16" s="1" t="s">
        <v>32</v>
      </c>
      <c r="E16" s="1" t="s">
        <v>16</v>
      </c>
      <c r="F16" s="1" t="s">
        <v>17</v>
      </c>
      <c r="G16" s="8">
        <v>46047</v>
      </c>
      <c r="H16" s="8"/>
      <c r="I16" s="1" t="s">
        <v>35</v>
      </c>
      <c r="J16" s="1" t="s">
        <v>19</v>
      </c>
      <c r="K16" s="1" t="s">
        <v>37</v>
      </c>
      <c r="L16" s="4">
        <f t="shared" ca="1" si="0"/>
        <v>197</v>
      </c>
    </row>
    <row r="17" spans="1:12">
      <c r="A17" s="3" t="s">
        <v>75</v>
      </c>
      <c r="B17" s="1" t="s">
        <v>21</v>
      </c>
      <c r="C17" s="1" t="s">
        <v>40</v>
      </c>
      <c r="D17" s="1" t="s">
        <v>41</v>
      </c>
      <c r="E17" s="1" t="s">
        <v>24</v>
      </c>
      <c r="F17" s="1" t="s">
        <v>25</v>
      </c>
      <c r="G17" s="8">
        <v>46049</v>
      </c>
      <c r="H17" s="8"/>
      <c r="I17" s="1" t="s">
        <v>44</v>
      </c>
      <c r="J17" s="1" t="s">
        <v>27</v>
      </c>
      <c r="K17" s="1" t="s">
        <v>44</v>
      </c>
      <c r="L17" s="4">
        <f t="shared" ca="1" si="0"/>
        <v>195</v>
      </c>
    </row>
    <row r="18" spans="1:12">
      <c r="A18" s="3" t="s">
        <v>76</v>
      </c>
      <c r="B18" s="1" t="s">
        <v>30</v>
      </c>
      <c r="C18" s="1" t="s">
        <v>48</v>
      </c>
      <c r="D18" s="1" t="s">
        <v>49</v>
      </c>
      <c r="E18" s="1" t="s">
        <v>33</v>
      </c>
      <c r="F18" s="1" t="s">
        <v>34</v>
      </c>
      <c r="G18" s="8">
        <v>46051</v>
      </c>
      <c r="H18" s="8"/>
      <c r="I18" s="1" t="s">
        <v>51</v>
      </c>
      <c r="J18" s="1" t="s">
        <v>36</v>
      </c>
      <c r="K18" s="1" t="s">
        <v>53</v>
      </c>
      <c r="L18" s="4">
        <f t="shared" ca="1" si="0"/>
        <v>193</v>
      </c>
    </row>
    <row r="19" spans="1:12">
      <c r="A19" s="3" t="s">
        <v>77</v>
      </c>
      <c r="B19" s="1" t="s">
        <v>39</v>
      </c>
      <c r="C19" s="1" t="s">
        <v>56</v>
      </c>
      <c r="D19" s="1" t="s">
        <v>57</v>
      </c>
      <c r="E19" s="1" t="s">
        <v>42</v>
      </c>
      <c r="F19" s="1" t="s">
        <v>43</v>
      </c>
      <c r="G19" s="8">
        <v>46053</v>
      </c>
      <c r="H19" s="8">
        <v>46056</v>
      </c>
      <c r="I19" s="1" t="s">
        <v>18</v>
      </c>
      <c r="J19" s="1" t="s">
        <v>45</v>
      </c>
      <c r="K19" s="1" t="s">
        <v>18</v>
      </c>
      <c r="L19" s="4">
        <f t="shared" ca="1" si="0"/>
        <v>191</v>
      </c>
    </row>
    <row r="20" spans="1:12">
      <c r="A20" s="3" t="s">
        <v>78</v>
      </c>
      <c r="B20" s="1" t="s">
        <v>47</v>
      </c>
      <c r="C20" s="1" t="s">
        <v>61</v>
      </c>
      <c r="D20" s="1" t="s">
        <v>62</v>
      </c>
      <c r="E20" s="1" t="s">
        <v>50</v>
      </c>
      <c r="F20" s="1" t="s">
        <v>17</v>
      </c>
      <c r="G20" s="8">
        <v>46055</v>
      </c>
      <c r="H20" s="8"/>
      <c r="I20" s="1" t="s">
        <v>26</v>
      </c>
      <c r="J20" s="1" t="s">
        <v>52</v>
      </c>
      <c r="K20" s="1" t="s">
        <v>28</v>
      </c>
      <c r="L20" s="4">
        <f t="shared" ca="1" si="0"/>
        <v>189</v>
      </c>
    </row>
    <row r="21" spans="1:12">
      <c r="A21" s="3" t="s">
        <v>79</v>
      </c>
      <c r="B21" s="1" t="s">
        <v>55</v>
      </c>
      <c r="C21" s="1" t="s">
        <v>64</v>
      </c>
      <c r="D21" s="1" t="s">
        <v>65</v>
      </c>
      <c r="E21" s="1" t="s">
        <v>58</v>
      </c>
      <c r="F21" s="1" t="s">
        <v>25</v>
      </c>
      <c r="G21" s="8">
        <v>46057</v>
      </c>
      <c r="H21" s="8"/>
      <c r="I21" s="1" t="s">
        <v>35</v>
      </c>
      <c r="J21" s="1" t="s">
        <v>59</v>
      </c>
      <c r="K21" s="1" t="s">
        <v>37</v>
      </c>
      <c r="L21" s="4">
        <f t="shared" ca="1" si="0"/>
        <v>187</v>
      </c>
    </row>
    <row r="22" spans="1:12">
      <c r="A22" s="3" t="s">
        <v>80</v>
      </c>
      <c r="B22" s="1" t="s">
        <v>13</v>
      </c>
      <c r="C22" s="1" t="s">
        <v>67</v>
      </c>
      <c r="D22" s="1" t="s">
        <v>68</v>
      </c>
      <c r="E22" s="1" t="s">
        <v>16</v>
      </c>
      <c r="F22" s="1" t="s">
        <v>34</v>
      </c>
      <c r="G22" s="8">
        <v>46059</v>
      </c>
      <c r="H22" s="8"/>
      <c r="I22" s="1" t="s">
        <v>44</v>
      </c>
      <c r="J22" s="1" t="s">
        <v>19</v>
      </c>
      <c r="K22" s="1" t="s">
        <v>44</v>
      </c>
      <c r="L22" s="4">
        <f t="shared" ca="1" si="0"/>
        <v>185</v>
      </c>
    </row>
    <row r="23" spans="1:12">
      <c r="A23" s="3" t="s">
        <v>81</v>
      </c>
      <c r="B23" s="1" t="s">
        <v>21</v>
      </c>
      <c r="C23" s="1" t="s">
        <v>70</v>
      </c>
      <c r="D23" s="1" t="s">
        <v>71</v>
      </c>
      <c r="E23" s="1" t="s">
        <v>24</v>
      </c>
      <c r="F23" s="1" t="s">
        <v>43</v>
      </c>
      <c r="G23" s="8">
        <v>46061</v>
      </c>
      <c r="H23" s="8"/>
      <c r="I23" s="1" t="s">
        <v>51</v>
      </c>
      <c r="J23" s="1" t="s">
        <v>27</v>
      </c>
      <c r="K23" s="1" t="s">
        <v>53</v>
      </c>
      <c r="L23" s="4">
        <f t="shared" ca="1" si="0"/>
        <v>183</v>
      </c>
    </row>
    <row r="24" spans="1:12">
      <c r="A24" s="3" t="s">
        <v>82</v>
      </c>
      <c r="B24" s="1" t="s">
        <v>30</v>
      </c>
      <c r="C24" s="1" t="s">
        <v>14</v>
      </c>
      <c r="D24" s="1" t="s">
        <v>15</v>
      </c>
      <c r="E24" s="1" t="s">
        <v>33</v>
      </c>
      <c r="F24" s="1" t="s">
        <v>17</v>
      </c>
      <c r="G24" s="8">
        <v>46063</v>
      </c>
      <c r="H24" s="8">
        <v>46066</v>
      </c>
      <c r="I24" s="1" t="s">
        <v>18</v>
      </c>
      <c r="J24" s="1" t="s">
        <v>36</v>
      </c>
      <c r="K24" s="1" t="s">
        <v>18</v>
      </c>
      <c r="L24" s="4">
        <f t="shared" ca="1" si="0"/>
        <v>181</v>
      </c>
    </row>
    <row r="25" spans="1:12">
      <c r="A25" s="3" t="s">
        <v>83</v>
      </c>
      <c r="B25" s="1" t="s">
        <v>39</v>
      </c>
      <c r="C25" s="1" t="s">
        <v>22</v>
      </c>
      <c r="D25" s="1" t="s">
        <v>23</v>
      </c>
      <c r="E25" s="1" t="s">
        <v>42</v>
      </c>
      <c r="F25" s="1" t="s">
        <v>25</v>
      </c>
      <c r="G25" s="8">
        <v>46065</v>
      </c>
      <c r="H25" s="8"/>
      <c r="I25" s="1" t="s">
        <v>26</v>
      </c>
      <c r="J25" s="1" t="s">
        <v>45</v>
      </c>
      <c r="K25" s="1" t="s">
        <v>28</v>
      </c>
      <c r="L25" s="4">
        <f t="shared" ca="1" si="0"/>
        <v>179</v>
      </c>
    </row>
    <row r="26" spans="1:12">
      <c r="A26" s="3" t="s">
        <v>84</v>
      </c>
      <c r="B26" s="1" t="s">
        <v>47</v>
      </c>
      <c r="C26" s="1" t="s">
        <v>31</v>
      </c>
      <c r="D26" s="1" t="s">
        <v>32</v>
      </c>
      <c r="E26" s="1" t="s">
        <v>50</v>
      </c>
      <c r="F26" s="1" t="s">
        <v>34</v>
      </c>
      <c r="G26" s="8">
        <v>46067</v>
      </c>
      <c r="H26" s="8"/>
      <c r="I26" s="1" t="s">
        <v>35</v>
      </c>
      <c r="J26" s="1" t="s">
        <v>52</v>
      </c>
      <c r="K26" s="1" t="s">
        <v>37</v>
      </c>
      <c r="L26" s="4">
        <f t="shared" ca="1" si="0"/>
        <v>177</v>
      </c>
    </row>
    <row r="27" spans="1:12">
      <c r="A27" s="3" t="s">
        <v>85</v>
      </c>
      <c r="B27" s="1" t="s">
        <v>55</v>
      </c>
      <c r="C27" s="1" t="s">
        <v>40</v>
      </c>
      <c r="D27" s="1" t="s">
        <v>41</v>
      </c>
      <c r="E27" s="1" t="s">
        <v>58</v>
      </c>
      <c r="F27" s="1" t="s">
        <v>43</v>
      </c>
      <c r="G27" s="8">
        <v>46069</v>
      </c>
      <c r="H27" s="8"/>
      <c r="I27" s="1" t="s">
        <v>44</v>
      </c>
      <c r="J27" s="1" t="s">
        <v>59</v>
      </c>
      <c r="K27" s="1" t="s">
        <v>44</v>
      </c>
      <c r="L27" s="4">
        <f t="shared" ca="1" si="0"/>
        <v>175</v>
      </c>
    </row>
    <row r="28" spans="1:12">
      <c r="A28" s="3" t="s">
        <v>86</v>
      </c>
      <c r="B28" s="1" t="s">
        <v>13</v>
      </c>
      <c r="C28" s="1" t="s">
        <v>48</v>
      </c>
      <c r="D28" s="1" t="s">
        <v>49</v>
      </c>
      <c r="E28" s="1" t="s">
        <v>16</v>
      </c>
      <c r="F28" s="1" t="s">
        <v>17</v>
      </c>
      <c r="G28" s="8">
        <v>46071</v>
      </c>
      <c r="H28" s="8"/>
      <c r="I28" s="1" t="s">
        <v>51</v>
      </c>
      <c r="J28" s="1" t="s">
        <v>19</v>
      </c>
      <c r="K28" s="1" t="s">
        <v>53</v>
      </c>
      <c r="L28" s="4">
        <f t="shared" ca="1" si="0"/>
        <v>173</v>
      </c>
    </row>
    <row r="29" spans="1:12">
      <c r="A29" s="3" t="s">
        <v>87</v>
      </c>
      <c r="B29" s="1" t="s">
        <v>21</v>
      </c>
      <c r="C29" s="1" t="s">
        <v>56</v>
      </c>
      <c r="D29" s="1" t="s">
        <v>57</v>
      </c>
      <c r="E29" s="1" t="s">
        <v>24</v>
      </c>
      <c r="F29" s="1" t="s">
        <v>25</v>
      </c>
      <c r="G29" s="8">
        <v>46073</v>
      </c>
      <c r="H29" s="8">
        <v>46076</v>
      </c>
      <c r="I29" s="1" t="s">
        <v>18</v>
      </c>
      <c r="J29" s="1" t="s">
        <v>27</v>
      </c>
      <c r="K29" s="1" t="s">
        <v>18</v>
      </c>
      <c r="L29" s="4">
        <f t="shared" ca="1" si="0"/>
        <v>171</v>
      </c>
    </row>
    <row r="30" spans="1:12">
      <c r="A30" s="3" t="s">
        <v>88</v>
      </c>
      <c r="B30" s="1" t="s">
        <v>30</v>
      </c>
      <c r="C30" s="1" t="s">
        <v>61</v>
      </c>
      <c r="D30" s="1" t="s">
        <v>62</v>
      </c>
      <c r="E30" s="1" t="s">
        <v>33</v>
      </c>
      <c r="F30" s="1" t="s">
        <v>34</v>
      </c>
      <c r="G30" s="8">
        <v>46075</v>
      </c>
      <c r="H30" s="8"/>
      <c r="I30" s="1" t="s">
        <v>26</v>
      </c>
      <c r="J30" s="1" t="s">
        <v>36</v>
      </c>
      <c r="K30" s="1" t="s">
        <v>28</v>
      </c>
      <c r="L30" s="4">
        <f t="shared" ca="1" si="0"/>
        <v>169</v>
      </c>
    </row>
    <row r="31" spans="1:12">
      <c r="A31" s="3" t="s">
        <v>89</v>
      </c>
      <c r="B31" s="1" t="s">
        <v>39</v>
      </c>
      <c r="C31" s="1" t="s">
        <v>64</v>
      </c>
      <c r="D31" s="1" t="s">
        <v>65</v>
      </c>
      <c r="E31" s="1" t="s">
        <v>42</v>
      </c>
      <c r="F31" s="1" t="s">
        <v>43</v>
      </c>
      <c r="G31" s="8">
        <v>46077</v>
      </c>
      <c r="H31" s="8"/>
      <c r="I31" s="1" t="s">
        <v>35</v>
      </c>
      <c r="J31" s="1" t="s">
        <v>45</v>
      </c>
      <c r="K31" s="1" t="s">
        <v>37</v>
      </c>
      <c r="L31" s="4">
        <f t="shared" ca="1" si="0"/>
        <v>167</v>
      </c>
    </row>
    <row r="32" spans="1:12">
      <c r="A32" s="3" t="s">
        <v>90</v>
      </c>
      <c r="B32" s="1" t="s">
        <v>47</v>
      </c>
      <c r="C32" s="1" t="s">
        <v>67</v>
      </c>
      <c r="D32" s="1" t="s">
        <v>68</v>
      </c>
      <c r="E32" s="1" t="s">
        <v>50</v>
      </c>
      <c r="F32" s="1" t="s">
        <v>17</v>
      </c>
      <c r="G32" s="8">
        <v>46079</v>
      </c>
      <c r="H32" s="8"/>
      <c r="I32" s="1" t="s">
        <v>44</v>
      </c>
      <c r="J32" s="1" t="s">
        <v>52</v>
      </c>
      <c r="K32" s="1" t="s">
        <v>44</v>
      </c>
      <c r="L32" s="4">
        <f t="shared" ca="1" si="0"/>
        <v>165</v>
      </c>
    </row>
    <row r="33" spans="1:12">
      <c r="A33" s="3" t="s">
        <v>91</v>
      </c>
      <c r="B33" s="1" t="s">
        <v>55</v>
      </c>
      <c r="C33" s="1" t="s">
        <v>70</v>
      </c>
      <c r="D33" s="1" t="s">
        <v>71</v>
      </c>
      <c r="E33" s="1" t="s">
        <v>58</v>
      </c>
      <c r="F33" s="1" t="s">
        <v>25</v>
      </c>
      <c r="G33" s="8">
        <v>46081</v>
      </c>
      <c r="H33" s="8"/>
      <c r="I33" s="1" t="s">
        <v>51</v>
      </c>
      <c r="J33" s="1" t="s">
        <v>59</v>
      </c>
      <c r="K33" s="1" t="s">
        <v>53</v>
      </c>
      <c r="L33" s="4">
        <f t="shared" ca="1" si="0"/>
        <v>163</v>
      </c>
    </row>
    <row r="34" spans="1:12">
      <c r="A34" s="3" t="s">
        <v>92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34</v>
      </c>
      <c r="G34" s="8">
        <v>46083</v>
      </c>
      <c r="H34" s="8">
        <v>46086</v>
      </c>
      <c r="I34" s="1" t="s">
        <v>18</v>
      </c>
      <c r="J34" s="1" t="s">
        <v>19</v>
      </c>
      <c r="K34" s="1" t="s">
        <v>18</v>
      </c>
      <c r="L34" s="4">
        <f t="shared" ca="1" si="0"/>
        <v>161</v>
      </c>
    </row>
    <row r="35" spans="1:12">
      <c r="A35" s="3" t="s">
        <v>93</v>
      </c>
      <c r="B35" s="1" t="s">
        <v>21</v>
      </c>
      <c r="C35" s="1" t="s">
        <v>22</v>
      </c>
      <c r="D35" s="1" t="s">
        <v>23</v>
      </c>
      <c r="E35" s="1" t="s">
        <v>24</v>
      </c>
      <c r="F35" s="1" t="s">
        <v>43</v>
      </c>
      <c r="G35" s="8">
        <v>46085</v>
      </c>
      <c r="H35" s="8"/>
      <c r="I35" s="1" t="s">
        <v>26</v>
      </c>
      <c r="J35" s="1" t="s">
        <v>27</v>
      </c>
      <c r="K35" s="1" t="s">
        <v>28</v>
      </c>
      <c r="L35" s="4">
        <f t="shared" ca="1" si="0"/>
        <v>159</v>
      </c>
    </row>
    <row r="36" spans="1:12">
      <c r="A36" s="3" t="s">
        <v>94</v>
      </c>
      <c r="B36" s="1" t="s">
        <v>30</v>
      </c>
      <c r="C36" s="1" t="s">
        <v>31</v>
      </c>
      <c r="D36" s="1" t="s">
        <v>32</v>
      </c>
      <c r="E36" s="1" t="s">
        <v>33</v>
      </c>
      <c r="F36" s="1" t="s">
        <v>17</v>
      </c>
      <c r="G36" s="8">
        <v>46087</v>
      </c>
      <c r="H36" s="8"/>
      <c r="I36" s="1" t="s">
        <v>35</v>
      </c>
      <c r="J36" s="1" t="s">
        <v>36</v>
      </c>
      <c r="K36" s="1" t="s">
        <v>37</v>
      </c>
      <c r="L36" s="4">
        <f t="shared" ref="L36:L67" ca="1" si="1">IF(G36="","",TODAY()-G36)</f>
        <v>157</v>
      </c>
    </row>
    <row r="37" spans="1:12">
      <c r="A37" s="3" t="s">
        <v>95</v>
      </c>
      <c r="B37" s="1" t="s">
        <v>39</v>
      </c>
      <c r="C37" s="1" t="s">
        <v>40</v>
      </c>
      <c r="D37" s="1" t="s">
        <v>41</v>
      </c>
      <c r="E37" s="1" t="s">
        <v>42</v>
      </c>
      <c r="F37" s="1" t="s">
        <v>25</v>
      </c>
      <c r="G37" s="8">
        <v>46089</v>
      </c>
      <c r="H37" s="8"/>
      <c r="I37" s="1" t="s">
        <v>44</v>
      </c>
      <c r="J37" s="1" t="s">
        <v>45</v>
      </c>
      <c r="K37" s="1" t="s">
        <v>44</v>
      </c>
      <c r="L37" s="4">
        <f t="shared" ca="1" si="1"/>
        <v>155</v>
      </c>
    </row>
    <row r="38" spans="1:12">
      <c r="A38" s="3" t="s">
        <v>96</v>
      </c>
      <c r="B38" s="1" t="s">
        <v>47</v>
      </c>
      <c r="C38" s="1" t="s">
        <v>48</v>
      </c>
      <c r="D38" s="1" t="s">
        <v>49</v>
      </c>
      <c r="E38" s="1" t="s">
        <v>50</v>
      </c>
      <c r="F38" s="1" t="s">
        <v>34</v>
      </c>
      <c r="G38" s="8">
        <v>46091</v>
      </c>
      <c r="H38" s="8"/>
      <c r="I38" s="1" t="s">
        <v>51</v>
      </c>
      <c r="J38" s="1" t="s">
        <v>52</v>
      </c>
      <c r="K38" s="1" t="s">
        <v>53</v>
      </c>
      <c r="L38" s="4">
        <f t="shared" ca="1" si="1"/>
        <v>153</v>
      </c>
    </row>
    <row r="39" spans="1:12">
      <c r="A39" s="3" t="s">
        <v>97</v>
      </c>
      <c r="B39" s="1" t="s">
        <v>55</v>
      </c>
      <c r="C39" s="1" t="s">
        <v>56</v>
      </c>
      <c r="D39" s="1" t="s">
        <v>57</v>
      </c>
      <c r="E39" s="1" t="s">
        <v>58</v>
      </c>
      <c r="F39" s="1" t="s">
        <v>43</v>
      </c>
      <c r="G39" s="8">
        <v>46093</v>
      </c>
      <c r="H39" s="8">
        <v>46096</v>
      </c>
      <c r="I39" s="1" t="s">
        <v>18</v>
      </c>
      <c r="J39" s="1" t="s">
        <v>59</v>
      </c>
      <c r="K39" s="1" t="s">
        <v>18</v>
      </c>
      <c r="L39" s="4">
        <f t="shared" ca="1" si="1"/>
        <v>151</v>
      </c>
    </row>
    <row r="40" spans="1:12">
      <c r="A40" s="3" t="s">
        <v>98</v>
      </c>
      <c r="B40" s="1" t="s">
        <v>13</v>
      </c>
      <c r="C40" s="1" t="s">
        <v>61</v>
      </c>
      <c r="D40" s="1" t="s">
        <v>62</v>
      </c>
      <c r="E40" s="1" t="s">
        <v>16</v>
      </c>
      <c r="F40" s="1" t="s">
        <v>17</v>
      </c>
      <c r="G40" s="8">
        <v>46095</v>
      </c>
      <c r="H40" s="8"/>
      <c r="I40" s="1" t="s">
        <v>26</v>
      </c>
      <c r="J40" s="1" t="s">
        <v>19</v>
      </c>
      <c r="K40" s="1" t="s">
        <v>28</v>
      </c>
      <c r="L40" s="4">
        <f t="shared" ca="1" si="1"/>
        <v>149</v>
      </c>
    </row>
    <row r="41" spans="1:12">
      <c r="A41" s="3" t="s">
        <v>99</v>
      </c>
      <c r="B41" s="1" t="s">
        <v>21</v>
      </c>
      <c r="C41" s="1" t="s">
        <v>64</v>
      </c>
      <c r="D41" s="1" t="s">
        <v>65</v>
      </c>
      <c r="E41" s="1" t="s">
        <v>24</v>
      </c>
      <c r="F41" s="1" t="s">
        <v>25</v>
      </c>
      <c r="G41" s="8">
        <v>46097</v>
      </c>
      <c r="H41" s="8"/>
      <c r="I41" s="1" t="s">
        <v>35</v>
      </c>
      <c r="J41" s="1" t="s">
        <v>27</v>
      </c>
      <c r="K41" s="1" t="s">
        <v>37</v>
      </c>
      <c r="L41" s="4">
        <f t="shared" ca="1" si="1"/>
        <v>147</v>
      </c>
    </row>
    <row r="42" spans="1:12">
      <c r="A42" s="3" t="s">
        <v>100</v>
      </c>
      <c r="B42" s="1" t="s">
        <v>30</v>
      </c>
      <c r="C42" s="1" t="s">
        <v>67</v>
      </c>
      <c r="D42" s="1" t="s">
        <v>68</v>
      </c>
      <c r="E42" s="1" t="s">
        <v>33</v>
      </c>
      <c r="F42" s="1" t="s">
        <v>34</v>
      </c>
      <c r="G42" s="8">
        <v>46099</v>
      </c>
      <c r="H42" s="8"/>
      <c r="I42" s="1" t="s">
        <v>44</v>
      </c>
      <c r="J42" s="1" t="s">
        <v>36</v>
      </c>
      <c r="K42" s="1" t="s">
        <v>44</v>
      </c>
      <c r="L42" s="4">
        <f t="shared" ca="1" si="1"/>
        <v>145</v>
      </c>
    </row>
    <row r="43" spans="1:12">
      <c r="A43" s="3" t="s">
        <v>101</v>
      </c>
      <c r="B43" s="1" t="s">
        <v>39</v>
      </c>
      <c r="C43" s="1" t="s">
        <v>70</v>
      </c>
      <c r="D43" s="1" t="s">
        <v>71</v>
      </c>
      <c r="E43" s="1" t="s">
        <v>42</v>
      </c>
      <c r="F43" s="1" t="s">
        <v>43</v>
      </c>
      <c r="G43" s="8">
        <v>46101</v>
      </c>
      <c r="H43" s="8"/>
      <c r="I43" s="1" t="s">
        <v>51</v>
      </c>
      <c r="J43" s="1" t="s">
        <v>45</v>
      </c>
      <c r="K43" s="1" t="s">
        <v>53</v>
      </c>
      <c r="L43" s="4">
        <f t="shared" ca="1" si="1"/>
        <v>143</v>
      </c>
    </row>
    <row r="44" spans="1:12">
      <c r="A44" s="3" t="s">
        <v>102</v>
      </c>
      <c r="B44" s="1" t="s">
        <v>47</v>
      </c>
      <c r="C44" s="1" t="s">
        <v>14</v>
      </c>
      <c r="D44" s="1" t="s">
        <v>15</v>
      </c>
      <c r="E44" s="1" t="s">
        <v>50</v>
      </c>
      <c r="F44" s="1" t="s">
        <v>17</v>
      </c>
      <c r="G44" s="8">
        <v>46103</v>
      </c>
      <c r="H44" s="8">
        <v>46106</v>
      </c>
      <c r="I44" s="1" t="s">
        <v>18</v>
      </c>
      <c r="J44" s="1" t="s">
        <v>52</v>
      </c>
      <c r="K44" s="1" t="s">
        <v>18</v>
      </c>
      <c r="L44" s="4">
        <f t="shared" ca="1" si="1"/>
        <v>141</v>
      </c>
    </row>
    <row r="45" spans="1:12">
      <c r="A45" s="3" t="s">
        <v>103</v>
      </c>
      <c r="B45" s="1" t="s">
        <v>55</v>
      </c>
      <c r="C45" s="1" t="s">
        <v>22</v>
      </c>
      <c r="D45" s="1" t="s">
        <v>23</v>
      </c>
      <c r="E45" s="1" t="s">
        <v>58</v>
      </c>
      <c r="F45" s="1" t="s">
        <v>25</v>
      </c>
      <c r="G45" s="8">
        <v>46105</v>
      </c>
      <c r="H45" s="8"/>
      <c r="I45" s="1" t="s">
        <v>26</v>
      </c>
      <c r="J45" s="1" t="s">
        <v>59</v>
      </c>
      <c r="K45" s="1" t="s">
        <v>28</v>
      </c>
      <c r="L45" s="4">
        <f t="shared" ca="1" si="1"/>
        <v>139</v>
      </c>
    </row>
    <row r="46" spans="1:12">
      <c r="A46" s="3" t="s">
        <v>104</v>
      </c>
      <c r="B46" s="1" t="s">
        <v>13</v>
      </c>
      <c r="C46" s="1" t="s">
        <v>31</v>
      </c>
      <c r="D46" s="1" t="s">
        <v>32</v>
      </c>
      <c r="E46" s="1" t="s">
        <v>16</v>
      </c>
      <c r="F46" s="1" t="s">
        <v>34</v>
      </c>
      <c r="G46" s="8">
        <v>46107</v>
      </c>
      <c r="H46" s="8"/>
      <c r="I46" s="1" t="s">
        <v>35</v>
      </c>
      <c r="J46" s="1" t="s">
        <v>19</v>
      </c>
      <c r="K46" s="1" t="s">
        <v>37</v>
      </c>
      <c r="L46" s="4">
        <f t="shared" ca="1" si="1"/>
        <v>137</v>
      </c>
    </row>
    <row r="47" spans="1:12">
      <c r="A47" s="3" t="s">
        <v>105</v>
      </c>
      <c r="B47" s="1" t="s">
        <v>21</v>
      </c>
      <c r="C47" s="1" t="s">
        <v>40</v>
      </c>
      <c r="D47" s="1" t="s">
        <v>41</v>
      </c>
      <c r="E47" s="1" t="s">
        <v>24</v>
      </c>
      <c r="F47" s="1" t="s">
        <v>43</v>
      </c>
      <c r="G47" s="8">
        <v>46109</v>
      </c>
      <c r="H47" s="8"/>
      <c r="I47" s="1" t="s">
        <v>44</v>
      </c>
      <c r="J47" s="1" t="s">
        <v>27</v>
      </c>
      <c r="K47" s="1" t="s">
        <v>44</v>
      </c>
      <c r="L47" s="4">
        <f t="shared" ca="1" si="1"/>
        <v>135</v>
      </c>
    </row>
    <row r="48" spans="1:12">
      <c r="A48" s="3" t="s">
        <v>106</v>
      </c>
      <c r="B48" s="1" t="s">
        <v>30</v>
      </c>
      <c r="C48" s="1" t="s">
        <v>48</v>
      </c>
      <c r="D48" s="1" t="s">
        <v>49</v>
      </c>
      <c r="E48" s="1" t="s">
        <v>33</v>
      </c>
      <c r="F48" s="1" t="s">
        <v>17</v>
      </c>
      <c r="G48" s="8">
        <v>46111</v>
      </c>
      <c r="H48" s="8"/>
      <c r="I48" s="1" t="s">
        <v>51</v>
      </c>
      <c r="J48" s="1" t="s">
        <v>36</v>
      </c>
      <c r="K48" s="1" t="s">
        <v>53</v>
      </c>
      <c r="L48" s="4">
        <f t="shared" ca="1" si="1"/>
        <v>133</v>
      </c>
    </row>
    <row r="49" spans="1:12">
      <c r="A49" s="3" t="s">
        <v>107</v>
      </c>
      <c r="B49" s="1" t="s">
        <v>39</v>
      </c>
      <c r="C49" s="1" t="s">
        <v>56</v>
      </c>
      <c r="D49" s="1" t="s">
        <v>57</v>
      </c>
      <c r="E49" s="1" t="s">
        <v>42</v>
      </c>
      <c r="F49" s="1" t="s">
        <v>25</v>
      </c>
      <c r="G49" s="8">
        <v>46113</v>
      </c>
      <c r="H49" s="8">
        <v>46116</v>
      </c>
      <c r="I49" s="1" t="s">
        <v>18</v>
      </c>
      <c r="J49" s="1" t="s">
        <v>45</v>
      </c>
      <c r="K49" s="1" t="s">
        <v>18</v>
      </c>
      <c r="L49" s="4">
        <f t="shared" ca="1" si="1"/>
        <v>131</v>
      </c>
    </row>
    <row r="50" spans="1:12">
      <c r="A50" s="3" t="s">
        <v>108</v>
      </c>
      <c r="B50" s="1" t="s">
        <v>47</v>
      </c>
      <c r="C50" s="1" t="s">
        <v>61</v>
      </c>
      <c r="D50" s="1" t="s">
        <v>62</v>
      </c>
      <c r="E50" s="1" t="s">
        <v>50</v>
      </c>
      <c r="F50" s="1" t="s">
        <v>34</v>
      </c>
      <c r="G50" s="8">
        <v>46115</v>
      </c>
      <c r="H50" s="8"/>
      <c r="I50" s="1" t="s">
        <v>26</v>
      </c>
      <c r="J50" s="1" t="s">
        <v>52</v>
      </c>
      <c r="K50" s="1" t="s">
        <v>28</v>
      </c>
      <c r="L50" s="4">
        <f t="shared" ca="1" si="1"/>
        <v>129</v>
      </c>
    </row>
    <row r="51" spans="1:12">
      <c r="A51" s="3" t="s">
        <v>109</v>
      </c>
      <c r="B51" s="1" t="s">
        <v>55</v>
      </c>
      <c r="C51" s="1" t="s">
        <v>64</v>
      </c>
      <c r="D51" s="1" t="s">
        <v>65</v>
      </c>
      <c r="E51" s="1" t="s">
        <v>58</v>
      </c>
      <c r="F51" s="1" t="s">
        <v>43</v>
      </c>
      <c r="G51" s="8">
        <v>46117</v>
      </c>
      <c r="H51" s="8"/>
      <c r="I51" s="1" t="s">
        <v>35</v>
      </c>
      <c r="J51" s="1" t="s">
        <v>59</v>
      </c>
      <c r="K51" s="1" t="s">
        <v>37</v>
      </c>
      <c r="L51" s="4">
        <f t="shared" ca="1" si="1"/>
        <v>127</v>
      </c>
    </row>
    <row r="52" spans="1:12">
      <c r="A52" s="3" t="s">
        <v>110</v>
      </c>
      <c r="B52" s="1" t="s">
        <v>13</v>
      </c>
      <c r="C52" s="1" t="s">
        <v>67</v>
      </c>
      <c r="D52" s="1" t="s">
        <v>68</v>
      </c>
      <c r="E52" s="1" t="s">
        <v>16</v>
      </c>
      <c r="F52" s="1" t="s">
        <v>17</v>
      </c>
      <c r="G52" s="8">
        <v>46119</v>
      </c>
      <c r="H52" s="8"/>
      <c r="I52" s="1" t="s">
        <v>44</v>
      </c>
      <c r="J52" s="1" t="s">
        <v>19</v>
      </c>
      <c r="K52" s="1" t="s">
        <v>44</v>
      </c>
      <c r="L52" s="4">
        <f t="shared" ca="1" si="1"/>
        <v>125</v>
      </c>
    </row>
    <row r="53" spans="1:12">
      <c r="A53" s="3" t="s">
        <v>111</v>
      </c>
      <c r="B53" s="1" t="s">
        <v>21</v>
      </c>
      <c r="C53" s="1" t="s">
        <v>70</v>
      </c>
      <c r="D53" s="1" t="s">
        <v>71</v>
      </c>
      <c r="E53" s="1" t="s">
        <v>24</v>
      </c>
      <c r="F53" s="1" t="s">
        <v>25</v>
      </c>
      <c r="G53" s="8">
        <v>46121</v>
      </c>
      <c r="H53" s="8"/>
      <c r="I53" s="1" t="s">
        <v>51</v>
      </c>
      <c r="J53" s="1" t="s">
        <v>27</v>
      </c>
      <c r="K53" s="1" t="s">
        <v>53</v>
      </c>
      <c r="L53" s="4">
        <f t="shared" ca="1" si="1"/>
        <v>123</v>
      </c>
    </row>
    <row r="54" spans="1:12">
      <c r="A54" s="3" t="s">
        <v>112</v>
      </c>
      <c r="B54" s="1" t="s">
        <v>30</v>
      </c>
      <c r="C54" s="1" t="s">
        <v>14</v>
      </c>
      <c r="D54" s="1" t="s">
        <v>15</v>
      </c>
      <c r="E54" s="1" t="s">
        <v>33</v>
      </c>
      <c r="F54" s="1" t="s">
        <v>34</v>
      </c>
      <c r="G54" s="8">
        <v>46123</v>
      </c>
      <c r="H54" s="8">
        <v>46126</v>
      </c>
      <c r="I54" s="1" t="s">
        <v>18</v>
      </c>
      <c r="J54" s="1" t="s">
        <v>36</v>
      </c>
      <c r="K54" s="1" t="s">
        <v>18</v>
      </c>
      <c r="L54" s="4">
        <f t="shared" ca="1" si="1"/>
        <v>121</v>
      </c>
    </row>
    <row r="55" spans="1:12">
      <c r="A55" s="3" t="s">
        <v>113</v>
      </c>
      <c r="B55" s="1" t="s">
        <v>39</v>
      </c>
      <c r="C55" s="1" t="s">
        <v>22</v>
      </c>
      <c r="D55" s="1" t="s">
        <v>23</v>
      </c>
      <c r="E55" s="1" t="s">
        <v>42</v>
      </c>
      <c r="F55" s="1" t="s">
        <v>43</v>
      </c>
      <c r="G55" s="8">
        <v>46125</v>
      </c>
      <c r="H55" s="8"/>
      <c r="I55" s="1" t="s">
        <v>26</v>
      </c>
      <c r="J55" s="1" t="s">
        <v>45</v>
      </c>
      <c r="K55" s="1" t="s">
        <v>28</v>
      </c>
      <c r="L55" s="4">
        <f t="shared" ca="1" si="1"/>
        <v>119</v>
      </c>
    </row>
    <row r="56" spans="1:12">
      <c r="A56" s="3" t="s">
        <v>114</v>
      </c>
      <c r="B56" s="1" t="s">
        <v>47</v>
      </c>
      <c r="C56" s="1" t="s">
        <v>31</v>
      </c>
      <c r="D56" s="1" t="s">
        <v>32</v>
      </c>
      <c r="E56" s="1" t="s">
        <v>50</v>
      </c>
      <c r="F56" s="1" t="s">
        <v>17</v>
      </c>
      <c r="G56" s="8">
        <v>46127</v>
      </c>
      <c r="H56" s="8"/>
      <c r="I56" s="1" t="s">
        <v>35</v>
      </c>
      <c r="J56" s="1" t="s">
        <v>52</v>
      </c>
      <c r="K56" s="1" t="s">
        <v>37</v>
      </c>
      <c r="L56" s="4">
        <f t="shared" ca="1" si="1"/>
        <v>117</v>
      </c>
    </row>
    <row r="57" spans="1:12">
      <c r="A57" s="3" t="s">
        <v>115</v>
      </c>
      <c r="B57" s="1" t="s">
        <v>55</v>
      </c>
      <c r="C57" s="1" t="s">
        <v>40</v>
      </c>
      <c r="D57" s="1" t="s">
        <v>41</v>
      </c>
      <c r="E57" s="1" t="s">
        <v>58</v>
      </c>
      <c r="F57" s="1" t="s">
        <v>25</v>
      </c>
      <c r="G57" s="8">
        <v>46129</v>
      </c>
      <c r="H57" s="8"/>
      <c r="I57" s="1" t="s">
        <v>44</v>
      </c>
      <c r="J57" s="1" t="s">
        <v>59</v>
      </c>
      <c r="K57" s="1" t="s">
        <v>44</v>
      </c>
      <c r="L57" s="4">
        <f t="shared" ca="1" si="1"/>
        <v>115</v>
      </c>
    </row>
    <row r="58" spans="1:12">
      <c r="A58" s="3" t="s">
        <v>116</v>
      </c>
      <c r="B58" s="1" t="s">
        <v>13</v>
      </c>
      <c r="C58" s="1" t="s">
        <v>48</v>
      </c>
      <c r="D58" s="1" t="s">
        <v>49</v>
      </c>
      <c r="E58" s="1" t="s">
        <v>16</v>
      </c>
      <c r="F58" s="1" t="s">
        <v>34</v>
      </c>
      <c r="G58" s="8">
        <v>46131</v>
      </c>
      <c r="H58" s="8"/>
      <c r="I58" s="1" t="s">
        <v>51</v>
      </c>
      <c r="J58" s="1" t="s">
        <v>19</v>
      </c>
      <c r="K58" s="1" t="s">
        <v>53</v>
      </c>
      <c r="L58" s="4">
        <f t="shared" ca="1" si="1"/>
        <v>113</v>
      </c>
    </row>
    <row r="59" spans="1:12">
      <c r="A59" s="3" t="s">
        <v>117</v>
      </c>
      <c r="B59" s="1" t="s">
        <v>21</v>
      </c>
      <c r="C59" s="1" t="s">
        <v>56</v>
      </c>
      <c r="D59" s="1" t="s">
        <v>57</v>
      </c>
      <c r="E59" s="1" t="s">
        <v>24</v>
      </c>
      <c r="F59" s="1" t="s">
        <v>43</v>
      </c>
      <c r="G59" s="8">
        <v>46133</v>
      </c>
      <c r="H59" s="8">
        <v>46136</v>
      </c>
      <c r="I59" s="1" t="s">
        <v>18</v>
      </c>
      <c r="J59" s="1" t="s">
        <v>27</v>
      </c>
      <c r="K59" s="1" t="s">
        <v>18</v>
      </c>
      <c r="L59" s="4">
        <f t="shared" ca="1" si="1"/>
        <v>111</v>
      </c>
    </row>
    <row r="60" spans="1:12">
      <c r="A60" s="3" t="s">
        <v>118</v>
      </c>
      <c r="B60" s="1" t="s">
        <v>30</v>
      </c>
      <c r="C60" s="1" t="s">
        <v>61</v>
      </c>
      <c r="D60" s="1" t="s">
        <v>62</v>
      </c>
      <c r="E60" s="1" t="s">
        <v>33</v>
      </c>
      <c r="F60" s="1" t="s">
        <v>17</v>
      </c>
      <c r="G60" s="8">
        <v>46135</v>
      </c>
      <c r="H60" s="8"/>
      <c r="I60" s="1" t="s">
        <v>26</v>
      </c>
      <c r="J60" s="1" t="s">
        <v>36</v>
      </c>
      <c r="K60" s="1" t="s">
        <v>28</v>
      </c>
      <c r="L60" s="4">
        <f t="shared" ca="1" si="1"/>
        <v>109</v>
      </c>
    </row>
    <row r="61" spans="1:12">
      <c r="A61" s="3" t="s">
        <v>119</v>
      </c>
      <c r="B61" s="1" t="s">
        <v>39</v>
      </c>
      <c r="C61" s="1" t="s">
        <v>64</v>
      </c>
      <c r="D61" s="1" t="s">
        <v>65</v>
      </c>
      <c r="E61" s="1" t="s">
        <v>42</v>
      </c>
      <c r="F61" s="1" t="s">
        <v>25</v>
      </c>
      <c r="G61" s="8">
        <v>46137</v>
      </c>
      <c r="H61" s="8"/>
      <c r="I61" s="1" t="s">
        <v>35</v>
      </c>
      <c r="J61" s="1" t="s">
        <v>45</v>
      </c>
      <c r="K61" s="1" t="s">
        <v>37</v>
      </c>
      <c r="L61" s="4">
        <f t="shared" ca="1" si="1"/>
        <v>107</v>
      </c>
    </row>
    <row r="62" spans="1:12">
      <c r="A62" s="3" t="s">
        <v>120</v>
      </c>
      <c r="B62" s="1" t="s">
        <v>47</v>
      </c>
      <c r="C62" s="1" t="s">
        <v>67</v>
      </c>
      <c r="D62" s="1" t="s">
        <v>68</v>
      </c>
      <c r="E62" s="1" t="s">
        <v>50</v>
      </c>
      <c r="F62" s="1" t="s">
        <v>34</v>
      </c>
      <c r="G62" s="8">
        <v>46139</v>
      </c>
      <c r="H62" s="8"/>
      <c r="I62" s="1" t="s">
        <v>44</v>
      </c>
      <c r="J62" s="1" t="s">
        <v>52</v>
      </c>
      <c r="K62" s="1" t="s">
        <v>44</v>
      </c>
      <c r="L62" s="4">
        <f t="shared" ca="1" si="1"/>
        <v>105</v>
      </c>
    </row>
    <row r="63" spans="1:12">
      <c r="A63" s="3" t="s">
        <v>121</v>
      </c>
      <c r="B63" s="1" t="s">
        <v>55</v>
      </c>
      <c r="C63" s="1" t="s">
        <v>70</v>
      </c>
      <c r="D63" s="1" t="s">
        <v>71</v>
      </c>
      <c r="E63" s="1" t="s">
        <v>58</v>
      </c>
      <c r="F63" s="1" t="s">
        <v>43</v>
      </c>
      <c r="G63" s="8">
        <v>46141</v>
      </c>
      <c r="H63" s="8"/>
      <c r="I63" s="1" t="s">
        <v>51</v>
      </c>
      <c r="J63" s="1" t="s">
        <v>59</v>
      </c>
      <c r="K63" s="1" t="s">
        <v>53</v>
      </c>
      <c r="L63" s="4">
        <f t="shared" ca="1" si="1"/>
        <v>103</v>
      </c>
    </row>
    <row r="64" spans="1:12">
      <c r="A64" s="3" t="s">
        <v>122</v>
      </c>
      <c r="B64" s="1" t="s">
        <v>13</v>
      </c>
      <c r="C64" s="1" t="s">
        <v>14</v>
      </c>
      <c r="D64" s="1" t="s">
        <v>15</v>
      </c>
      <c r="E64" s="1" t="s">
        <v>16</v>
      </c>
      <c r="F64" s="1" t="s">
        <v>17</v>
      </c>
      <c r="G64" s="8">
        <v>46143</v>
      </c>
      <c r="H64" s="8">
        <v>46146</v>
      </c>
      <c r="I64" s="1" t="s">
        <v>18</v>
      </c>
      <c r="J64" s="1" t="s">
        <v>19</v>
      </c>
      <c r="K64" s="1" t="s">
        <v>18</v>
      </c>
      <c r="L64" s="4">
        <f t="shared" ca="1" si="1"/>
        <v>101</v>
      </c>
    </row>
    <row r="65" spans="1:12">
      <c r="A65" s="3" t="s">
        <v>123</v>
      </c>
      <c r="B65" s="1" t="s">
        <v>21</v>
      </c>
      <c r="C65" s="1" t="s">
        <v>22</v>
      </c>
      <c r="D65" s="1" t="s">
        <v>23</v>
      </c>
      <c r="E65" s="1" t="s">
        <v>24</v>
      </c>
      <c r="F65" s="1" t="s">
        <v>25</v>
      </c>
      <c r="G65" s="8">
        <v>46145</v>
      </c>
      <c r="H65" s="8"/>
      <c r="I65" s="1" t="s">
        <v>26</v>
      </c>
      <c r="J65" s="1" t="s">
        <v>27</v>
      </c>
      <c r="K65" s="1" t="s">
        <v>28</v>
      </c>
      <c r="L65" s="4">
        <f t="shared" ca="1" si="1"/>
        <v>99</v>
      </c>
    </row>
    <row r="66" spans="1:12">
      <c r="A66" s="3" t="s">
        <v>124</v>
      </c>
      <c r="B66" s="1" t="s">
        <v>30</v>
      </c>
      <c r="C66" s="1" t="s">
        <v>31</v>
      </c>
      <c r="D66" s="1" t="s">
        <v>32</v>
      </c>
      <c r="E66" s="1" t="s">
        <v>33</v>
      </c>
      <c r="F66" s="1" t="s">
        <v>34</v>
      </c>
      <c r="G66" s="8">
        <v>46147</v>
      </c>
      <c r="H66" s="8"/>
      <c r="I66" s="1" t="s">
        <v>35</v>
      </c>
      <c r="J66" s="1" t="s">
        <v>36</v>
      </c>
      <c r="K66" s="1" t="s">
        <v>37</v>
      </c>
      <c r="L66" s="4">
        <f t="shared" ca="1" si="1"/>
        <v>97</v>
      </c>
    </row>
    <row r="67" spans="1:12">
      <c r="A67" s="3" t="s">
        <v>125</v>
      </c>
      <c r="B67" s="1" t="s">
        <v>39</v>
      </c>
      <c r="C67" s="1" t="s">
        <v>40</v>
      </c>
      <c r="D67" s="1" t="s">
        <v>41</v>
      </c>
      <c r="E67" s="1" t="s">
        <v>42</v>
      </c>
      <c r="F67" s="1" t="s">
        <v>43</v>
      </c>
      <c r="G67" s="8">
        <v>46149</v>
      </c>
      <c r="H67" s="8"/>
      <c r="I67" s="1" t="s">
        <v>44</v>
      </c>
      <c r="J67" s="1" t="s">
        <v>45</v>
      </c>
      <c r="K67" s="1" t="s">
        <v>44</v>
      </c>
      <c r="L67" s="4">
        <f t="shared" ca="1" si="1"/>
        <v>95</v>
      </c>
    </row>
    <row r="68" spans="1:12">
      <c r="A68" s="3" t="s">
        <v>126</v>
      </c>
      <c r="B68" s="1" t="s">
        <v>47</v>
      </c>
      <c r="C68" s="1" t="s">
        <v>48</v>
      </c>
      <c r="D68" s="1" t="s">
        <v>49</v>
      </c>
      <c r="E68" s="1" t="s">
        <v>50</v>
      </c>
      <c r="F68" s="1" t="s">
        <v>17</v>
      </c>
      <c r="G68" s="8">
        <v>46151</v>
      </c>
      <c r="H68" s="8"/>
      <c r="I68" s="1" t="s">
        <v>51</v>
      </c>
      <c r="J68" s="1" t="s">
        <v>52</v>
      </c>
      <c r="K68" s="1" t="s">
        <v>53</v>
      </c>
      <c r="L68" s="4">
        <f t="shared" ref="L68:L103" ca="1" si="2">IF(G68="","",TODAY()-G68)</f>
        <v>93</v>
      </c>
    </row>
    <row r="69" spans="1:12">
      <c r="A69" s="3" t="s">
        <v>127</v>
      </c>
      <c r="B69" s="1" t="s">
        <v>55</v>
      </c>
      <c r="C69" s="1" t="s">
        <v>56</v>
      </c>
      <c r="D69" s="1" t="s">
        <v>57</v>
      </c>
      <c r="E69" s="1" t="s">
        <v>58</v>
      </c>
      <c r="F69" s="1" t="s">
        <v>25</v>
      </c>
      <c r="G69" s="8">
        <v>46153</v>
      </c>
      <c r="H69" s="8">
        <v>46156</v>
      </c>
      <c r="I69" s="1" t="s">
        <v>18</v>
      </c>
      <c r="J69" s="1" t="s">
        <v>59</v>
      </c>
      <c r="K69" s="1" t="s">
        <v>18</v>
      </c>
      <c r="L69" s="4">
        <f t="shared" ca="1" si="2"/>
        <v>91</v>
      </c>
    </row>
    <row r="70" spans="1:12">
      <c r="A70" s="3" t="s">
        <v>128</v>
      </c>
      <c r="B70" s="1" t="s">
        <v>13</v>
      </c>
      <c r="C70" s="1" t="s">
        <v>61</v>
      </c>
      <c r="D70" s="1" t="s">
        <v>62</v>
      </c>
      <c r="E70" s="1" t="s">
        <v>16</v>
      </c>
      <c r="F70" s="1" t="s">
        <v>34</v>
      </c>
      <c r="G70" s="8">
        <v>46155</v>
      </c>
      <c r="H70" s="8"/>
      <c r="I70" s="1" t="s">
        <v>26</v>
      </c>
      <c r="J70" s="1" t="s">
        <v>19</v>
      </c>
      <c r="K70" s="1" t="s">
        <v>28</v>
      </c>
      <c r="L70" s="4">
        <f t="shared" ca="1" si="2"/>
        <v>89</v>
      </c>
    </row>
    <row r="71" spans="1:12">
      <c r="A71" s="3" t="s">
        <v>129</v>
      </c>
      <c r="B71" s="1" t="s">
        <v>21</v>
      </c>
      <c r="C71" s="1" t="s">
        <v>64</v>
      </c>
      <c r="D71" s="1" t="s">
        <v>65</v>
      </c>
      <c r="E71" s="1" t="s">
        <v>24</v>
      </c>
      <c r="F71" s="1" t="s">
        <v>43</v>
      </c>
      <c r="G71" s="8">
        <v>46157</v>
      </c>
      <c r="H71" s="8"/>
      <c r="I71" s="1" t="s">
        <v>35</v>
      </c>
      <c r="J71" s="1" t="s">
        <v>27</v>
      </c>
      <c r="K71" s="1" t="s">
        <v>37</v>
      </c>
      <c r="L71" s="4">
        <f t="shared" ca="1" si="2"/>
        <v>87</v>
      </c>
    </row>
    <row r="72" spans="1:12">
      <c r="A72" s="3" t="s">
        <v>130</v>
      </c>
      <c r="B72" s="1" t="s">
        <v>30</v>
      </c>
      <c r="C72" s="1" t="s">
        <v>67</v>
      </c>
      <c r="D72" s="1" t="s">
        <v>68</v>
      </c>
      <c r="E72" s="1" t="s">
        <v>33</v>
      </c>
      <c r="F72" s="1" t="s">
        <v>17</v>
      </c>
      <c r="G72" s="8">
        <v>46159</v>
      </c>
      <c r="H72" s="8"/>
      <c r="I72" s="1" t="s">
        <v>44</v>
      </c>
      <c r="J72" s="1" t="s">
        <v>36</v>
      </c>
      <c r="K72" s="1" t="s">
        <v>44</v>
      </c>
      <c r="L72" s="4">
        <f t="shared" ca="1" si="2"/>
        <v>85</v>
      </c>
    </row>
    <row r="73" spans="1:12">
      <c r="A73" s="3" t="s">
        <v>131</v>
      </c>
      <c r="B73" s="1" t="s">
        <v>39</v>
      </c>
      <c r="C73" s="1" t="s">
        <v>70</v>
      </c>
      <c r="D73" s="1" t="s">
        <v>71</v>
      </c>
      <c r="E73" s="1" t="s">
        <v>42</v>
      </c>
      <c r="F73" s="1" t="s">
        <v>25</v>
      </c>
      <c r="G73" s="8">
        <v>46161</v>
      </c>
      <c r="H73" s="8"/>
      <c r="I73" s="1" t="s">
        <v>51</v>
      </c>
      <c r="J73" s="1" t="s">
        <v>45</v>
      </c>
      <c r="K73" s="1" t="s">
        <v>53</v>
      </c>
      <c r="L73" s="4">
        <f t="shared" ca="1" si="2"/>
        <v>83</v>
      </c>
    </row>
    <row r="74" spans="1:12">
      <c r="A74" s="3" t="s">
        <v>132</v>
      </c>
      <c r="B74" s="1" t="s">
        <v>47</v>
      </c>
      <c r="C74" s="1" t="s">
        <v>14</v>
      </c>
      <c r="D74" s="1" t="s">
        <v>15</v>
      </c>
      <c r="E74" s="1" t="s">
        <v>50</v>
      </c>
      <c r="F74" s="1" t="s">
        <v>34</v>
      </c>
      <c r="G74" s="8">
        <v>46163</v>
      </c>
      <c r="H74" s="8">
        <v>46166</v>
      </c>
      <c r="I74" s="1" t="s">
        <v>18</v>
      </c>
      <c r="J74" s="1" t="s">
        <v>52</v>
      </c>
      <c r="K74" s="1" t="s">
        <v>18</v>
      </c>
      <c r="L74" s="4">
        <f t="shared" ca="1" si="2"/>
        <v>81</v>
      </c>
    </row>
    <row r="75" spans="1:12">
      <c r="A75" s="3" t="s">
        <v>133</v>
      </c>
      <c r="B75" s="1" t="s">
        <v>55</v>
      </c>
      <c r="C75" s="1" t="s">
        <v>22</v>
      </c>
      <c r="D75" s="1" t="s">
        <v>23</v>
      </c>
      <c r="E75" s="1" t="s">
        <v>58</v>
      </c>
      <c r="F75" s="1" t="s">
        <v>43</v>
      </c>
      <c r="G75" s="8">
        <v>46165</v>
      </c>
      <c r="H75" s="8"/>
      <c r="I75" s="1" t="s">
        <v>26</v>
      </c>
      <c r="J75" s="1" t="s">
        <v>59</v>
      </c>
      <c r="K75" s="1" t="s">
        <v>28</v>
      </c>
      <c r="L75" s="4">
        <f t="shared" ca="1" si="2"/>
        <v>79</v>
      </c>
    </row>
    <row r="76" spans="1:12">
      <c r="A76" s="3" t="s">
        <v>134</v>
      </c>
      <c r="B76" s="1" t="s">
        <v>13</v>
      </c>
      <c r="C76" s="1" t="s">
        <v>31</v>
      </c>
      <c r="D76" s="1" t="s">
        <v>32</v>
      </c>
      <c r="E76" s="1" t="s">
        <v>16</v>
      </c>
      <c r="F76" s="1" t="s">
        <v>17</v>
      </c>
      <c r="G76" s="8">
        <v>46167</v>
      </c>
      <c r="H76" s="8"/>
      <c r="I76" s="1" t="s">
        <v>35</v>
      </c>
      <c r="J76" s="1" t="s">
        <v>19</v>
      </c>
      <c r="K76" s="1" t="s">
        <v>37</v>
      </c>
      <c r="L76" s="4">
        <f t="shared" ca="1" si="2"/>
        <v>77</v>
      </c>
    </row>
    <row r="77" spans="1:12">
      <c r="A77" s="3" t="s">
        <v>135</v>
      </c>
      <c r="B77" s="1" t="s">
        <v>21</v>
      </c>
      <c r="C77" s="1" t="s">
        <v>40</v>
      </c>
      <c r="D77" s="1" t="s">
        <v>41</v>
      </c>
      <c r="E77" s="1" t="s">
        <v>24</v>
      </c>
      <c r="F77" s="1" t="s">
        <v>25</v>
      </c>
      <c r="G77" s="8">
        <v>46169</v>
      </c>
      <c r="H77" s="8"/>
      <c r="I77" s="1" t="s">
        <v>44</v>
      </c>
      <c r="J77" s="1" t="s">
        <v>27</v>
      </c>
      <c r="K77" s="1" t="s">
        <v>44</v>
      </c>
      <c r="L77" s="4">
        <f t="shared" ca="1" si="2"/>
        <v>75</v>
      </c>
    </row>
    <row r="78" spans="1:12">
      <c r="A78" s="3" t="s">
        <v>136</v>
      </c>
      <c r="B78" s="1" t="s">
        <v>30</v>
      </c>
      <c r="C78" s="1" t="s">
        <v>48</v>
      </c>
      <c r="D78" s="1" t="s">
        <v>49</v>
      </c>
      <c r="E78" s="1" t="s">
        <v>33</v>
      </c>
      <c r="F78" s="1" t="s">
        <v>34</v>
      </c>
      <c r="G78" s="8">
        <v>46171</v>
      </c>
      <c r="H78" s="8"/>
      <c r="I78" s="1" t="s">
        <v>51</v>
      </c>
      <c r="J78" s="1" t="s">
        <v>36</v>
      </c>
      <c r="K78" s="1" t="s">
        <v>53</v>
      </c>
      <c r="L78" s="4">
        <f t="shared" ca="1" si="2"/>
        <v>73</v>
      </c>
    </row>
    <row r="79" spans="1:12">
      <c r="A79" s="3" t="s">
        <v>137</v>
      </c>
      <c r="B79" s="1" t="s">
        <v>39</v>
      </c>
      <c r="C79" s="1" t="s">
        <v>56</v>
      </c>
      <c r="D79" s="1" t="s">
        <v>57</v>
      </c>
      <c r="E79" s="1" t="s">
        <v>42</v>
      </c>
      <c r="F79" s="1" t="s">
        <v>43</v>
      </c>
      <c r="G79" s="8">
        <v>46173</v>
      </c>
      <c r="H79" s="8">
        <v>46176</v>
      </c>
      <c r="I79" s="1" t="s">
        <v>18</v>
      </c>
      <c r="J79" s="1" t="s">
        <v>45</v>
      </c>
      <c r="K79" s="1" t="s">
        <v>18</v>
      </c>
      <c r="L79" s="4">
        <f t="shared" ca="1" si="2"/>
        <v>71</v>
      </c>
    </row>
    <row r="80" spans="1:12">
      <c r="A80" s="3" t="s">
        <v>138</v>
      </c>
      <c r="B80" s="1" t="s">
        <v>47</v>
      </c>
      <c r="C80" s="1" t="s">
        <v>61</v>
      </c>
      <c r="D80" s="1" t="s">
        <v>62</v>
      </c>
      <c r="E80" s="1" t="s">
        <v>50</v>
      </c>
      <c r="F80" s="1" t="s">
        <v>17</v>
      </c>
      <c r="G80" s="8">
        <v>46175</v>
      </c>
      <c r="H80" s="8"/>
      <c r="I80" s="1" t="s">
        <v>26</v>
      </c>
      <c r="J80" s="1" t="s">
        <v>52</v>
      </c>
      <c r="K80" s="1" t="s">
        <v>28</v>
      </c>
      <c r="L80" s="4">
        <f t="shared" ca="1" si="2"/>
        <v>69</v>
      </c>
    </row>
    <row r="81" spans="1:12">
      <c r="A81" s="3" t="s">
        <v>139</v>
      </c>
      <c r="B81" s="1" t="s">
        <v>55</v>
      </c>
      <c r="C81" s="1" t="s">
        <v>64</v>
      </c>
      <c r="D81" s="1" t="s">
        <v>65</v>
      </c>
      <c r="E81" s="1" t="s">
        <v>58</v>
      </c>
      <c r="F81" s="1" t="s">
        <v>25</v>
      </c>
      <c r="G81" s="8">
        <v>46177</v>
      </c>
      <c r="H81" s="8"/>
      <c r="I81" s="1" t="s">
        <v>35</v>
      </c>
      <c r="J81" s="1" t="s">
        <v>59</v>
      </c>
      <c r="K81" s="1" t="s">
        <v>37</v>
      </c>
      <c r="L81" s="4">
        <f t="shared" ca="1" si="2"/>
        <v>67</v>
      </c>
    </row>
    <row r="82" spans="1:12">
      <c r="A82" s="3" t="s">
        <v>140</v>
      </c>
      <c r="B82" s="1" t="s">
        <v>13</v>
      </c>
      <c r="C82" s="1" t="s">
        <v>67</v>
      </c>
      <c r="D82" s="1" t="s">
        <v>68</v>
      </c>
      <c r="E82" s="1" t="s">
        <v>16</v>
      </c>
      <c r="F82" s="1" t="s">
        <v>34</v>
      </c>
      <c r="G82" s="8">
        <v>46179</v>
      </c>
      <c r="H82" s="8"/>
      <c r="I82" s="1" t="s">
        <v>44</v>
      </c>
      <c r="J82" s="1" t="s">
        <v>19</v>
      </c>
      <c r="K82" s="1" t="s">
        <v>44</v>
      </c>
      <c r="L82" s="4">
        <f t="shared" ca="1" si="2"/>
        <v>65</v>
      </c>
    </row>
    <row r="83" spans="1:12">
      <c r="A83" s="3" t="s">
        <v>141</v>
      </c>
      <c r="B83" s="1" t="s">
        <v>21</v>
      </c>
      <c r="C83" s="1" t="s">
        <v>70</v>
      </c>
      <c r="D83" s="1" t="s">
        <v>71</v>
      </c>
      <c r="E83" s="1" t="s">
        <v>24</v>
      </c>
      <c r="F83" s="1" t="s">
        <v>43</v>
      </c>
      <c r="G83" s="8">
        <v>46181</v>
      </c>
      <c r="H83" s="8"/>
      <c r="I83" s="1" t="s">
        <v>51</v>
      </c>
      <c r="J83" s="1" t="s">
        <v>27</v>
      </c>
      <c r="K83" s="1" t="s">
        <v>53</v>
      </c>
      <c r="L83" s="4">
        <f t="shared" ca="1" si="2"/>
        <v>63</v>
      </c>
    </row>
    <row r="84" spans="1:12">
      <c r="A84" s="3" t="s">
        <v>142</v>
      </c>
      <c r="B84" s="1" t="s">
        <v>30</v>
      </c>
      <c r="C84" s="1" t="s">
        <v>14</v>
      </c>
      <c r="D84" s="1" t="s">
        <v>15</v>
      </c>
      <c r="E84" s="1" t="s">
        <v>33</v>
      </c>
      <c r="F84" s="1" t="s">
        <v>17</v>
      </c>
      <c r="G84" s="8">
        <v>46183</v>
      </c>
      <c r="H84" s="8">
        <v>46186</v>
      </c>
      <c r="I84" s="1" t="s">
        <v>18</v>
      </c>
      <c r="J84" s="1" t="s">
        <v>36</v>
      </c>
      <c r="K84" s="1" t="s">
        <v>18</v>
      </c>
      <c r="L84" s="4">
        <f t="shared" ca="1" si="2"/>
        <v>61</v>
      </c>
    </row>
    <row r="85" spans="1:12">
      <c r="A85" s="3" t="s">
        <v>143</v>
      </c>
      <c r="B85" s="1" t="s">
        <v>39</v>
      </c>
      <c r="C85" s="1" t="s">
        <v>22</v>
      </c>
      <c r="D85" s="1" t="s">
        <v>23</v>
      </c>
      <c r="E85" s="1" t="s">
        <v>42</v>
      </c>
      <c r="F85" s="1" t="s">
        <v>25</v>
      </c>
      <c r="G85" s="8">
        <v>46185</v>
      </c>
      <c r="H85" s="8"/>
      <c r="I85" s="1" t="s">
        <v>26</v>
      </c>
      <c r="J85" s="1" t="s">
        <v>45</v>
      </c>
      <c r="K85" s="1" t="s">
        <v>28</v>
      </c>
      <c r="L85" s="4">
        <f t="shared" ca="1" si="2"/>
        <v>59</v>
      </c>
    </row>
    <row r="86" spans="1:12">
      <c r="A86" s="3" t="s">
        <v>144</v>
      </c>
      <c r="B86" s="1" t="s">
        <v>47</v>
      </c>
      <c r="C86" s="1" t="s">
        <v>31</v>
      </c>
      <c r="D86" s="1" t="s">
        <v>32</v>
      </c>
      <c r="E86" s="1" t="s">
        <v>50</v>
      </c>
      <c r="F86" s="1" t="s">
        <v>34</v>
      </c>
      <c r="G86" s="8">
        <v>46187</v>
      </c>
      <c r="H86" s="8"/>
      <c r="I86" s="1" t="s">
        <v>35</v>
      </c>
      <c r="J86" s="1" t="s">
        <v>52</v>
      </c>
      <c r="K86" s="1" t="s">
        <v>37</v>
      </c>
      <c r="L86" s="4">
        <f t="shared" ca="1" si="2"/>
        <v>57</v>
      </c>
    </row>
    <row r="87" spans="1:12">
      <c r="A87" s="3" t="s">
        <v>145</v>
      </c>
      <c r="B87" s="1" t="s">
        <v>55</v>
      </c>
      <c r="C87" s="1" t="s">
        <v>40</v>
      </c>
      <c r="D87" s="1" t="s">
        <v>41</v>
      </c>
      <c r="E87" s="1" t="s">
        <v>58</v>
      </c>
      <c r="F87" s="1" t="s">
        <v>43</v>
      </c>
      <c r="G87" s="8">
        <v>46189</v>
      </c>
      <c r="H87" s="8"/>
      <c r="I87" s="1" t="s">
        <v>44</v>
      </c>
      <c r="J87" s="1" t="s">
        <v>59</v>
      </c>
      <c r="K87" s="1" t="s">
        <v>44</v>
      </c>
      <c r="L87" s="4">
        <f t="shared" ca="1" si="2"/>
        <v>55</v>
      </c>
    </row>
    <row r="88" spans="1:12">
      <c r="A88" s="3" t="s">
        <v>146</v>
      </c>
      <c r="B88" s="1" t="s">
        <v>13</v>
      </c>
      <c r="C88" s="1" t="s">
        <v>48</v>
      </c>
      <c r="D88" s="1" t="s">
        <v>49</v>
      </c>
      <c r="E88" s="1" t="s">
        <v>16</v>
      </c>
      <c r="F88" s="1" t="s">
        <v>17</v>
      </c>
      <c r="G88" s="8">
        <v>46191</v>
      </c>
      <c r="H88" s="8"/>
      <c r="I88" s="1" t="s">
        <v>51</v>
      </c>
      <c r="J88" s="1" t="s">
        <v>19</v>
      </c>
      <c r="K88" s="1" t="s">
        <v>53</v>
      </c>
      <c r="L88" s="4">
        <f t="shared" ca="1" si="2"/>
        <v>53</v>
      </c>
    </row>
    <row r="89" spans="1:12">
      <c r="A89" s="3" t="s">
        <v>147</v>
      </c>
      <c r="B89" s="1" t="s">
        <v>21</v>
      </c>
      <c r="C89" s="1" t="s">
        <v>56</v>
      </c>
      <c r="D89" s="1" t="s">
        <v>57</v>
      </c>
      <c r="E89" s="1" t="s">
        <v>24</v>
      </c>
      <c r="F89" s="1" t="s">
        <v>25</v>
      </c>
      <c r="G89" s="8">
        <v>46193</v>
      </c>
      <c r="H89" s="8">
        <v>46196</v>
      </c>
      <c r="I89" s="1" t="s">
        <v>18</v>
      </c>
      <c r="J89" s="1" t="s">
        <v>27</v>
      </c>
      <c r="K89" s="1" t="s">
        <v>18</v>
      </c>
      <c r="L89" s="4">
        <f t="shared" ca="1" si="2"/>
        <v>51</v>
      </c>
    </row>
    <row r="90" spans="1:12">
      <c r="A90" s="3" t="s">
        <v>148</v>
      </c>
      <c r="B90" s="1" t="s">
        <v>30</v>
      </c>
      <c r="C90" s="1" t="s">
        <v>61</v>
      </c>
      <c r="D90" s="1" t="s">
        <v>62</v>
      </c>
      <c r="E90" s="1" t="s">
        <v>33</v>
      </c>
      <c r="F90" s="1" t="s">
        <v>34</v>
      </c>
      <c r="G90" s="8">
        <v>46195</v>
      </c>
      <c r="H90" s="8"/>
      <c r="I90" s="1" t="s">
        <v>26</v>
      </c>
      <c r="J90" s="1" t="s">
        <v>36</v>
      </c>
      <c r="K90" s="1" t="s">
        <v>28</v>
      </c>
      <c r="L90" s="4">
        <f t="shared" ca="1" si="2"/>
        <v>49</v>
      </c>
    </row>
    <row r="91" spans="1:12">
      <c r="A91" s="3" t="s">
        <v>149</v>
      </c>
      <c r="B91" s="1" t="s">
        <v>39</v>
      </c>
      <c r="C91" s="1" t="s">
        <v>64</v>
      </c>
      <c r="D91" s="1" t="s">
        <v>65</v>
      </c>
      <c r="E91" s="1" t="s">
        <v>42</v>
      </c>
      <c r="F91" s="1" t="s">
        <v>43</v>
      </c>
      <c r="G91" s="8">
        <v>46197</v>
      </c>
      <c r="H91" s="8"/>
      <c r="I91" s="1" t="s">
        <v>35</v>
      </c>
      <c r="J91" s="1" t="s">
        <v>45</v>
      </c>
      <c r="K91" s="1" t="s">
        <v>37</v>
      </c>
      <c r="L91" s="4">
        <f t="shared" ca="1" si="2"/>
        <v>47</v>
      </c>
    </row>
    <row r="92" spans="1:12">
      <c r="A92" s="3" t="s">
        <v>150</v>
      </c>
      <c r="B92" s="1" t="s">
        <v>47</v>
      </c>
      <c r="C92" s="1" t="s">
        <v>67</v>
      </c>
      <c r="D92" s="1" t="s">
        <v>68</v>
      </c>
      <c r="E92" s="1" t="s">
        <v>50</v>
      </c>
      <c r="F92" s="1" t="s">
        <v>17</v>
      </c>
      <c r="G92" s="8">
        <v>46199</v>
      </c>
      <c r="H92" s="8"/>
      <c r="I92" s="1" t="s">
        <v>44</v>
      </c>
      <c r="J92" s="1" t="s">
        <v>52</v>
      </c>
      <c r="K92" s="1" t="s">
        <v>44</v>
      </c>
      <c r="L92" s="4">
        <f t="shared" ca="1" si="2"/>
        <v>45</v>
      </c>
    </row>
    <row r="93" spans="1:12">
      <c r="A93" s="3" t="s">
        <v>151</v>
      </c>
      <c r="B93" s="1" t="s">
        <v>55</v>
      </c>
      <c r="C93" s="1" t="s">
        <v>70</v>
      </c>
      <c r="D93" s="1" t="s">
        <v>71</v>
      </c>
      <c r="E93" s="1" t="s">
        <v>58</v>
      </c>
      <c r="F93" s="1" t="s">
        <v>25</v>
      </c>
      <c r="G93" s="8">
        <v>46201</v>
      </c>
      <c r="H93" s="8"/>
      <c r="I93" s="1" t="s">
        <v>51</v>
      </c>
      <c r="J93" s="1" t="s">
        <v>59</v>
      </c>
      <c r="K93" s="1" t="s">
        <v>53</v>
      </c>
      <c r="L93" s="4">
        <f t="shared" ca="1" si="2"/>
        <v>43</v>
      </c>
    </row>
    <row r="94" spans="1:12">
      <c r="A94" s="3" t="s">
        <v>152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34</v>
      </c>
      <c r="G94" s="8">
        <v>46203</v>
      </c>
      <c r="H94" s="8">
        <v>46206</v>
      </c>
      <c r="I94" s="1" t="s">
        <v>18</v>
      </c>
      <c r="J94" s="1" t="s">
        <v>19</v>
      </c>
      <c r="K94" s="1" t="s">
        <v>18</v>
      </c>
      <c r="L94" s="4">
        <f t="shared" ca="1" si="2"/>
        <v>41</v>
      </c>
    </row>
    <row r="95" spans="1:12">
      <c r="A95" s="3" t="s">
        <v>153</v>
      </c>
      <c r="B95" s="1" t="s">
        <v>21</v>
      </c>
      <c r="C95" s="1" t="s">
        <v>22</v>
      </c>
      <c r="D95" s="1" t="s">
        <v>23</v>
      </c>
      <c r="E95" s="1" t="s">
        <v>24</v>
      </c>
      <c r="F95" s="1" t="s">
        <v>43</v>
      </c>
      <c r="G95" s="8">
        <v>46205</v>
      </c>
      <c r="H95" s="8"/>
      <c r="I95" s="1" t="s">
        <v>26</v>
      </c>
      <c r="J95" s="1" t="s">
        <v>27</v>
      </c>
      <c r="K95" s="1" t="s">
        <v>28</v>
      </c>
      <c r="L95" s="4">
        <f t="shared" ca="1" si="2"/>
        <v>39</v>
      </c>
    </row>
    <row r="96" spans="1:12">
      <c r="A96" s="3" t="s">
        <v>154</v>
      </c>
      <c r="B96" s="1" t="s">
        <v>30</v>
      </c>
      <c r="C96" s="1" t="s">
        <v>31</v>
      </c>
      <c r="D96" s="1" t="s">
        <v>32</v>
      </c>
      <c r="E96" s="1" t="s">
        <v>33</v>
      </c>
      <c r="F96" s="1" t="s">
        <v>17</v>
      </c>
      <c r="G96" s="8">
        <v>46207</v>
      </c>
      <c r="H96" s="8"/>
      <c r="I96" s="1" t="s">
        <v>35</v>
      </c>
      <c r="J96" s="1" t="s">
        <v>36</v>
      </c>
      <c r="K96" s="1" t="s">
        <v>37</v>
      </c>
      <c r="L96" s="4">
        <f t="shared" ca="1" si="2"/>
        <v>37</v>
      </c>
    </row>
    <row r="97" spans="1:12">
      <c r="A97" s="3" t="s">
        <v>155</v>
      </c>
      <c r="B97" s="1" t="s">
        <v>39</v>
      </c>
      <c r="C97" s="1" t="s">
        <v>40</v>
      </c>
      <c r="D97" s="1" t="s">
        <v>41</v>
      </c>
      <c r="E97" s="1" t="s">
        <v>42</v>
      </c>
      <c r="F97" s="1" t="s">
        <v>25</v>
      </c>
      <c r="G97" s="8">
        <v>46209</v>
      </c>
      <c r="H97" s="8"/>
      <c r="I97" s="1" t="s">
        <v>44</v>
      </c>
      <c r="J97" s="1" t="s">
        <v>45</v>
      </c>
      <c r="K97" s="1" t="s">
        <v>44</v>
      </c>
      <c r="L97" s="4">
        <f t="shared" ca="1" si="2"/>
        <v>35</v>
      </c>
    </row>
    <row r="98" spans="1:12">
      <c r="A98" s="3" t="s">
        <v>156</v>
      </c>
      <c r="B98" s="1" t="s">
        <v>47</v>
      </c>
      <c r="C98" s="1" t="s">
        <v>48</v>
      </c>
      <c r="D98" s="1" t="s">
        <v>49</v>
      </c>
      <c r="E98" s="1" t="s">
        <v>50</v>
      </c>
      <c r="F98" s="1" t="s">
        <v>34</v>
      </c>
      <c r="G98" s="8">
        <v>46211</v>
      </c>
      <c r="H98" s="8"/>
      <c r="I98" s="1" t="s">
        <v>51</v>
      </c>
      <c r="J98" s="1" t="s">
        <v>52</v>
      </c>
      <c r="K98" s="1" t="s">
        <v>53</v>
      </c>
      <c r="L98" s="4">
        <f t="shared" ca="1" si="2"/>
        <v>33</v>
      </c>
    </row>
    <row r="99" spans="1:12">
      <c r="A99" s="3" t="s">
        <v>157</v>
      </c>
      <c r="B99" s="1" t="s">
        <v>55</v>
      </c>
      <c r="C99" s="1" t="s">
        <v>56</v>
      </c>
      <c r="D99" s="1" t="s">
        <v>57</v>
      </c>
      <c r="E99" s="1" t="s">
        <v>58</v>
      </c>
      <c r="F99" s="1" t="s">
        <v>43</v>
      </c>
      <c r="G99" s="8">
        <v>46213</v>
      </c>
      <c r="H99" s="8">
        <v>46216</v>
      </c>
      <c r="I99" s="1" t="s">
        <v>18</v>
      </c>
      <c r="J99" s="1" t="s">
        <v>59</v>
      </c>
      <c r="K99" s="1" t="s">
        <v>18</v>
      </c>
      <c r="L99" s="4">
        <f t="shared" ca="1" si="2"/>
        <v>31</v>
      </c>
    </row>
    <row r="100" spans="1:12">
      <c r="A100" s="3" t="s">
        <v>158</v>
      </c>
      <c r="B100" s="1" t="s">
        <v>13</v>
      </c>
      <c r="C100" s="1" t="s">
        <v>61</v>
      </c>
      <c r="D100" s="1" t="s">
        <v>62</v>
      </c>
      <c r="E100" s="1" t="s">
        <v>16</v>
      </c>
      <c r="F100" s="1" t="s">
        <v>17</v>
      </c>
      <c r="G100" s="8">
        <v>46215</v>
      </c>
      <c r="H100" s="8"/>
      <c r="I100" s="1" t="s">
        <v>26</v>
      </c>
      <c r="J100" s="1" t="s">
        <v>19</v>
      </c>
      <c r="K100" s="1" t="s">
        <v>28</v>
      </c>
      <c r="L100" s="4">
        <f t="shared" ca="1" si="2"/>
        <v>29</v>
      </c>
    </row>
    <row r="101" spans="1:12">
      <c r="A101" s="3" t="s">
        <v>159</v>
      </c>
      <c r="B101" s="1" t="s">
        <v>21</v>
      </c>
      <c r="C101" s="1" t="s">
        <v>64</v>
      </c>
      <c r="D101" s="1" t="s">
        <v>65</v>
      </c>
      <c r="E101" s="1" t="s">
        <v>24</v>
      </c>
      <c r="F101" s="1" t="s">
        <v>25</v>
      </c>
      <c r="G101" s="8">
        <v>46217</v>
      </c>
      <c r="H101" s="8"/>
      <c r="I101" s="1" t="s">
        <v>35</v>
      </c>
      <c r="J101" s="1" t="s">
        <v>27</v>
      </c>
      <c r="K101" s="1" t="s">
        <v>37</v>
      </c>
      <c r="L101" s="4">
        <f t="shared" ca="1" si="2"/>
        <v>27</v>
      </c>
    </row>
    <row r="102" spans="1:12">
      <c r="A102" s="3" t="s">
        <v>160</v>
      </c>
      <c r="B102" s="1" t="s">
        <v>30</v>
      </c>
      <c r="C102" s="1" t="s">
        <v>67</v>
      </c>
      <c r="D102" s="1" t="s">
        <v>68</v>
      </c>
      <c r="E102" s="1" t="s">
        <v>33</v>
      </c>
      <c r="F102" s="1" t="s">
        <v>34</v>
      </c>
      <c r="G102" s="8">
        <v>46219</v>
      </c>
      <c r="H102" s="8"/>
      <c r="I102" s="1" t="s">
        <v>44</v>
      </c>
      <c r="J102" s="1" t="s">
        <v>36</v>
      </c>
      <c r="K102" s="1" t="s">
        <v>44</v>
      </c>
      <c r="L102" s="4">
        <f t="shared" ca="1" si="2"/>
        <v>25</v>
      </c>
    </row>
    <row r="103" spans="1:12">
      <c r="A103" s="5" t="s">
        <v>161</v>
      </c>
      <c r="B103" s="6" t="s">
        <v>39</v>
      </c>
      <c r="C103" s="6" t="s">
        <v>70</v>
      </c>
      <c r="D103" s="6" t="s">
        <v>71</v>
      </c>
      <c r="E103" s="6" t="s">
        <v>42</v>
      </c>
      <c r="F103" s="6" t="s">
        <v>43</v>
      </c>
      <c r="G103" s="9">
        <v>46221</v>
      </c>
      <c r="H103" s="9"/>
      <c r="I103" s="6" t="s">
        <v>51</v>
      </c>
      <c r="J103" s="6" t="s">
        <v>45</v>
      </c>
      <c r="K103" s="6" t="s">
        <v>53</v>
      </c>
      <c r="L103" s="7">
        <f t="shared" ca="1" si="2"/>
        <v>23</v>
      </c>
    </row>
  </sheetData>
  <mergeCells count="1">
    <mergeCell ref="A1:L2"/>
  </mergeCells>
  <conditionalFormatting sqref="I3:I103">
    <cfRule type="containsText" dxfId="4" priority="1" operator="containsText" text="draft">
      <formula>NOT(ISERROR(SEARCH("draft",I3)))</formula>
    </cfRule>
    <cfRule type="containsText" dxfId="3" priority="2" operator="containsText" text="under review">
      <formula>NOT(ISERROR(SEARCH("under review",I3)))</formula>
    </cfRule>
    <cfRule type="containsText" dxfId="2" priority="3" operator="containsText" text="submitted">
      <formula>NOT(ISERROR(SEARCH("submitted",I3)))</formula>
    </cfRule>
    <cfRule type="containsText" dxfId="1" priority="4" operator="containsText" text="rejected">
      <formula>NOT(ISERROR(SEARCH("rejected",I3)))</formula>
    </cfRule>
    <cfRule type="containsText" dxfId="0" priority="5" operator="containsText" text="Approved">
      <formula>NOT(ISERROR(SEARCH("Approved",I3)))</formula>
    </cfRule>
  </conditionalFormatting>
  <dataValidations count="2">
    <dataValidation type="list" allowBlank="1" showInputMessage="1" showErrorMessage="1" sqref="E3:E103" xr:uid="{FA0A0EE5-92A2-45AB-B4EE-7BE79E5EFB26}">
      <formula1>"Civil, Mechanical, Electrical, ELV, HSE, QA/QC"</formula1>
    </dataValidation>
    <dataValidation type="list" allowBlank="1" showInputMessage="1" showErrorMessage="1" sqref="I3 I5:I103 I4" xr:uid="{A3DFD83F-8F3C-4E2A-80B5-4C7FB176ECDA}">
      <formula1>"Draft, Submitted, Under Review, Approved, Rejected"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AAE1-11B1-44FE-ACA3-1986C03B3135}">
  <dimension ref="D1:G8"/>
  <sheetViews>
    <sheetView workbookViewId="0">
      <selection activeCell="D11" sqref="D11"/>
    </sheetView>
  </sheetViews>
  <sheetFormatPr defaultRowHeight="14.5"/>
  <cols>
    <col min="4" max="4" width="19.26953125" customWidth="1"/>
    <col min="5" max="5" width="18.1796875" customWidth="1"/>
    <col min="6" max="6" width="16.90625" customWidth="1"/>
    <col min="7" max="7" width="24" customWidth="1"/>
  </cols>
  <sheetData>
    <row r="1" spans="4:7" ht="20" customHeight="1">
      <c r="D1" s="17" t="s">
        <v>2</v>
      </c>
      <c r="E1" s="18" t="s">
        <v>3</v>
      </c>
      <c r="F1" s="18" t="s">
        <v>4</v>
      </c>
      <c r="G1" s="19" t="s">
        <v>9</v>
      </c>
    </row>
    <row r="2" spans="4:7" ht="22" customHeight="1">
      <c r="D2" s="15" t="s">
        <v>14</v>
      </c>
      <c r="E2" s="14" t="s">
        <v>15</v>
      </c>
      <c r="F2" s="14" t="s">
        <v>16</v>
      </c>
      <c r="G2" s="16" t="s">
        <v>19</v>
      </c>
    </row>
    <row r="3" spans="4:7" ht="23.5" customHeight="1">
      <c r="D3" s="15" t="s">
        <v>22</v>
      </c>
      <c r="E3" s="14" t="s">
        <v>23</v>
      </c>
      <c r="F3" s="14" t="s">
        <v>24</v>
      </c>
      <c r="G3" s="16" t="s">
        <v>27</v>
      </c>
    </row>
    <row r="4" spans="4:7" ht="23.5" customHeight="1">
      <c r="D4" s="15" t="s">
        <v>31</v>
      </c>
      <c r="E4" s="14" t="s">
        <v>32</v>
      </c>
      <c r="F4" s="14" t="s">
        <v>33</v>
      </c>
      <c r="G4" s="16" t="s">
        <v>36</v>
      </c>
    </row>
    <row r="5" spans="4:7" ht="22.5" customHeight="1">
      <c r="D5" s="15" t="s">
        <v>48</v>
      </c>
      <c r="E5" s="14" t="s">
        <v>49</v>
      </c>
      <c r="F5" s="14" t="s">
        <v>42</v>
      </c>
      <c r="G5" s="16" t="s">
        <v>45</v>
      </c>
    </row>
    <row r="6" spans="4:7" ht="24" customHeight="1">
      <c r="D6" s="15" t="s">
        <v>61</v>
      </c>
      <c r="E6" s="14" t="s">
        <v>163</v>
      </c>
      <c r="F6" s="14" t="s">
        <v>50</v>
      </c>
      <c r="G6" s="16" t="s">
        <v>52</v>
      </c>
    </row>
    <row r="7" spans="4:7" ht="21.5" customHeight="1">
      <c r="D7" s="15" t="s">
        <v>164</v>
      </c>
      <c r="E7" s="14" t="s">
        <v>41</v>
      </c>
      <c r="F7" s="14" t="s">
        <v>58</v>
      </c>
      <c r="G7" s="16" t="s">
        <v>59</v>
      </c>
    </row>
    <row r="8" spans="4:7" ht="22.5" customHeight="1">
      <c r="D8" s="20" t="s">
        <v>64</v>
      </c>
      <c r="E8" s="21" t="s">
        <v>165</v>
      </c>
      <c r="F8" s="21" t="s">
        <v>16</v>
      </c>
      <c r="G8" s="22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14C4-03CE-4CAF-8D69-43338167B0D4}">
  <dimension ref="D3:F12"/>
  <sheetViews>
    <sheetView topLeftCell="A3" workbookViewId="0">
      <selection activeCell="E5" sqref="E5"/>
    </sheetView>
  </sheetViews>
  <sheetFormatPr defaultRowHeight="14.5"/>
  <cols>
    <col min="4" max="4" width="22.1796875" customWidth="1"/>
    <col min="5" max="5" width="19.1796875" customWidth="1"/>
    <col min="6" max="6" width="19.6328125" customWidth="1"/>
    <col min="7" max="7" width="18.7265625" bestFit="1" customWidth="1"/>
  </cols>
  <sheetData>
    <row r="3" spans="4:6" ht="21" customHeight="1">
      <c r="D3" s="26" t="s">
        <v>166</v>
      </c>
      <c r="E3" s="26" t="s">
        <v>167</v>
      </c>
      <c r="F3" s="26" t="s">
        <v>168</v>
      </c>
    </row>
    <row r="4" spans="4:6" ht="20.5" customHeight="1">
      <c r="D4" s="29" t="s">
        <v>169</v>
      </c>
      <c r="E4" s="30">
        <f>COUNTA('Document Register'!A2:A103)</f>
        <v>101</v>
      </c>
      <c r="F4" s="27">
        <v>200</v>
      </c>
    </row>
    <row r="5" spans="4:6" ht="20" customHeight="1">
      <c r="D5" s="29" t="s">
        <v>18</v>
      </c>
      <c r="E5" s="30">
        <f>COUNTIF('Document Register'!I2:I103,"Approved")</f>
        <v>20</v>
      </c>
      <c r="F5" s="28" t="s">
        <v>170</v>
      </c>
    </row>
    <row r="6" spans="4:6" ht="20.5" customHeight="1">
      <c r="D6" s="29" t="s">
        <v>26</v>
      </c>
      <c r="E6" s="30">
        <f>COUNTIF('Document Register'!I2:I103,"Submitted")</f>
        <v>20</v>
      </c>
      <c r="F6" s="28" t="s">
        <v>171</v>
      </c>
    </row>
    <row r="7" spans="4:6" ht="22" customHeight="1">
      <c r="D7" s="29" t="s">
        <v>35</v>
      </c>
      <c r="E7" s="30">
        <f>COUNTIF('Document Register'!I2:I103,"Under Review")</f>
        <v>20</v>
      </c>
      <c r="F7" s="28" t="s">
        <v>171</v>
      </c>
    </row>
    <row r="8" spans="4:6" ht="19.5" customHeight="1">
      <c r="D8" s="29" t="s">
        <v>51</v>
      </c>
      <c r="E8" s="30">
        <f>COUNTIF('Document Register'!I2:I103,"Rejected")</f>
        <v>20</v>
      </c>
      <c r="F8" s="28" t="s">
        <v>172</v>
      </c>
    </row>
    <row r="9" spans="4:6" ht="21" customHeight="1">
      <c r="D9" s="29" t="s">
        <v>173</v>
      </c>
      <c r="E9" s="30">
        <f ca="1">COUNTIFS('Document Register'!L2:L103,"&gt;30",'Document Register'!I2:I103,"&lt;&gt;Approved")</f>
        <v>76</v>
      </c>
      <c r="F9" s="28" t="s">
        <v>172</v>
      </c>
    </row>
    <row r="10" spans="4:6" ht="18.5" customHeight="1">
      <c r="D10" s="29" t="s">
        <v>202</v>
      </c>
      <c r="E10" s="30">
        <f ca="1">(COUNTIFS('Document Register'!L2:L103,"&lt;=30")/COUNTA('Document Register'!A2:A103))*100</f>
        <v>3.9603960396039604</v>
      </c>
      <c r="F10" s="28" t="s">
        <v>203</v>
      </c>
    </row>
    <row r="11" spans="4:6" ht="19.5" customHeight="1">
      <c r="D11" s="29" t="s">
        <v>204</v>
      </c>
      <c r="E11" s="30">
        <f>(COUNTIF('Document Register'!I2:I103,"Approved")/COUNTA('Document Register'!A2:A103))*100</f>
        <v>19.801980198019802</v>
      </c>
      <c r="F11" s="28" t="s">
        <v>170</v>
      </c>
    </row>
    <row r="12" spans="4:6" ht="18.5" customHeight="1">
      <c r="D12" s="29" t="s">
        <v>205</v>
      </c>
      <c r="E12" s="30">
        <f>((COUNTA('Document Register'!A2:A103)-COUNTIF('Document Register'!K2:K103,"*Error*"))/COUNTA('Document Register'!A2:A103))*100</f>
        <v>100</v>
      </c>
      <c r="F12" s="28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4986-39E9-46E2-A2B5-806461FFAED3}">
  <dimension ref="D1:H10"/>
  <sheetViews>
    <sheetView workbookViewId="0">
      <selection activeCell="E12" sqref="E12"/>
    </sheetView>
  </sheetViews>
  <sheetFormatPr defaultRowHeight="14.5"/>
  <cols>
    <col min="4" max="4" width="22.81640625" customWidth="1"/>
    <col min="5" max="5" width="32.81640625" customWidth="1"/>
    <col min="6" max="6" width="29" customWidth="1"/>
    <col min="7" max="8" width="24.26953125" customWidth="1"/>
  </cols>
  <sheetData>
    <row r="1" spans="4:8" ht="23.5" customHeight="1">
      <c r="D1" s="24" t="s">
        <v>174</v>
      </c>
      <c r="E1" s="24" t="s">
        <v>175</v>
      </c>
      <c r="F1" s="24" t="s">
        <v>176</v>
      </c>
      <c r="G1" s="24" t="s">
        <v>177</v>
      </c>
    </row>
    <row r="2" spans="4:8" ht="26.5" customHeight="1">
      <c r="D2" s="25" t="s">
        <v>178</v>
      </c>
      <c r="E2" s="25" t="s">
        <v>179</v>
      </c>
      <c r="F2" s="25" t="s">
        <v>180</v>
      </c>
      <c r="G2" s="25" t="s">
        <v>181</v>
      </c>
    </row>
    <row r="3" spans="4:8" ht="31.5" customHeight="1">
      <c r="D3" s="25" t="s">
        <v>182</v>
      </c>
      <c r="E3" s="25" t="s">
        <v>183</v>
      </c>
      <c r="F3" s="25" t="s">
        <v>184</v>
      </c>
      <c r="G3" s="25" t="s">
        <v>185</v>
      </c>
    </row>
    <row r="4" spans="4:8" ht="31" customHeight="1">
      <c r="D4" s="25" t="s">
        <v>186</v>
      </c>
      <c r="E4" s="25" t="s">
        <v>187</v>
      </c>
      <c r="F4" s="25" t="s">
        <v>188</v>
      </c>
      <c r="G4" s="25" t="s">
        <v>189</v>
      </c>
      <c r="H4" s="23"/>
    </row>
    <row r="5" spans="4:8">
      <c r="D5" s="25" t="s">
        <v>190</v>
      </c>
      <c r="E5" s="25" t="s">
        <v>191</v>
      </c>
      <c r="F5" s="25" t="s">
        <v>192</v>
      </c>
      <c r="G5" s="25" t="s">
        <v>193</v>
      </c>
      <c r="H5" s="2"/>
    </row>
    <row r="6" spans="4:8">
      <c r="D6" s="25" t="s">
        <v>194</v>
      </c>
      <c r="E6" s="25" t="s">
        <v>195</v>
      </c>
      <c r="F6" s="25" t="s">
        <v>196</v>
      </c>
      <c r="G6" s="25" t="s">
        <v>197</v>
      </c>
      <c r="H6" s="2"/>
    </row>
    <row r="7" spans="4:8">
      <c r="D7" s="25" t="s">
        <v>198</v>
      </c>
      <c r="E7" s="25" t="s">
        <v>199</v>
      </c>
      <c r="F7" s="25" t="s">
        <v>200</v>
      </c>
      <c r="G7" s="25" t="s">
        <v>201</v>
      </c>
      <c r="H7" s="2"/>
    </row>
    <row r="8" spans="4:8">
      <c r="E8" s="2"/>
      <c r="F8" s="2"/>
      <c r="G8" s="2"/>
      <c r="H8" s="2"/>
    </row>
    <row r="9" spans="4:8">
      <c r="E9" s="2"/>
      <c r="F9" s="2"/>
      <c r="G9" s="2"/>
      <c r="H9" s="2"/>
    </row>
    <row r="10" spans="4:8">
      <c r="E10" s="2"/>
      <c r="F10" s="2"/>
      <c r="G10" s="2"/>
      <c r="H1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1929AB-29FD-445F-8BB2-17F8928A8F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Register</vt:lpstr>
      <vt:lpstr>Data-detail</vt:lpstr>
      <vt:lpstr>KPI Matrix</vt:lpstr>
      <vt:lpstr>KRA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ruman ahmad | kaleidofin</cp:lastModifiedBy>
  <dcterms:created xsi:type="dcterms:W3CDTF">2026-08-06T15:35:47Z</dcterms:created>
  <dcterms:modified xsi:type="dcterms:W3CDTF">2026-08-10T07:56:44Z</dcterms:modified>
</cp:coreProperties>
</file>